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D:\diogo\Desktop\MsEx_IA_apl\LLMs\aulas\"/>
    </mc:Choice>
  </mc:AlternateContent>
  <xr:revisionPtr revIDLastSave="0" documentId="13_ncr:1_{3FD834BE-3E42-476B-B0F5-C9DEF115D964}" xr6:coauthVersionLast="47" xr6:coauthVersionMax="47" xr10:uidLastSave="{00000000-0000-0000-0000-000000000000}"/>
  <bookViews>
    <workbookView xWindow="-120" yWindow="-120" windowWidth="29040" windowHeight="15840" activeTab="1" xr2:uid="{B71DB90E-0543-46EE-ACBB-765DC0224E43}"/>
  </bookViews>
  <sheets>
    <sheet name="results" sheetId="2" r:id="rId1"/>
    <sheet name="results_grouped" sheetId="1" r:id="rId2"/>
    <sheet name="results_threshold_per_label" sheetId="4" r:id="rId3"/>
    <sheet name="results_threshold_per_label_gro" sheetId="5" r:id="rId4"/>
    <sheet name="manual tests" sheetId="6" r:id="rId5"/>
  </sheets>
  <definedNames>
    <definedName name="ExternalData_1" localSheetId="0" hidden="1">results!$A$1:$G$62</definedName>
    <definedName name="ExternalData_1" localSheetId="2" hidden="1">results_threshold_per_label!$A$1:$C$61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F3" i="1" l="1"/>
  <c r="Z3" i="1"/>
  <c r="T3" i="1"/>
  <c r="N3" i="1"/>
  <c r="A1" i="6"/>
  <c r="A13" i="6"/>
  <c r="A14" i="6"/>
  <c r="A12" i="6"/>
  <c r="A11" i="6"/>
  <c r="A10" i="6"/>
  <c r="A9" i="6"/>
  <c r="A8" i="6"/>
  <c r="A7" i="6"/>
  <c r="A6" i="6"/>
  <c r="A5" i="6"/>
  <c r="A4" i="6"/>
  <c r="A3" i="6"/>
  <c r="G5" i="5"/>
  <c r="G6" i="5"/>
  <c r="G7" i="5"/>
  <c r="G8" i="5"/>
  <c r="G9" i="5"/>
  <c r="G10" i="5"/>
  <c r="G11" i="5"/>
  <c r="G12" i="5"/>
  <c r="G13" i="5"/>
  <c r="G14" i="5"/>
  <c r="G15" i="5"/>
  <c r="G4" i="5"/>
  <c r="F5" i="5"/>
  <c r="F6" i="5"/>
  <c r="F7" i="5"/>
  <c r="F8" i="5"/>
  <c r="F9" i="5"/>
  <c r="F10" i="5"/>
  <c r="F11" i="5"/>
  <c r="F12" i="5"/>
  <c r="F13" i="5"/>
  <c r="F14" i="5"/>
  <c r="F15" i="5"/>
  <c r="F4" i="5"/>
  <c r="E5" i="5"/>
  <c r="E6" i="5"/>
  <c r="E7" i="5"/>
  <c r="E8" i="5"/>
  <c r="E9" i="5"/>
  <c r="E10" i="5"/>
  <c r="E11" i="5"/>
  <c r="E12" i="5"/>
  <c r="E13" i="5"/>
  <c r="E14" i="5"/>
  <c r="E15" i="5"/>
  <c r="E4" i="5"/>
  <c r="D5" i="5"/>
  <c r="D6" i="5"/>
  <c r="D7" i="5"/>
  <c r="D8" i="5"/>
  <c r="D9" i="5"/>
  <c r="D10" i="5"/>
  <c r="D11" i="5"/>
  <c r="D12" i="5"/>
  <c r="D13" i="5"/>
  <c r="D14" i="5"/>
  <c r="D15" i="5"/>
  <c r="D4" i="5"/>
  <c r="C5" i="5"/>
  <c r="C6" i="5"/>
  <c r="C7" i="5"/>
  <c r="C8" i="5"/>
  <c r="C9" i="5"/>
  <c r="C10" i="5"/>
  <c r="C11" i="5"/>
  <c r="C12" i="5"/>
  <c r="C13" i="5"/>
  <c r="C14" i="5"/>
  <c r="C15" i="5"/>
  <c r="C4" i="5"/>
  <c r="G2" i="5"/>
  <c r="F2" i="5"/>
  <c r="E2" i="5"/>
  <c r="D2" i="5"/>
  <c r="C2" i="5"/>
  <c r="B4" i="5"/>
  <c r="B5" i="5"/>
  <c r="B6" i="5"/>
  <c r="B7" i="5"/>
  <c r="B8" i="5"/>
  <c r="B9" i="5"/>
  <c r="B10" i="5"/>
  <c r="B11" i="5"/>
  <c r="B12" i="5"/>
  <c r="B13" i="5"/>
  <c r="B14" i="5"/>
  <c r="B15" i="5"/>
  <c r="B2"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CF1F1BA-CD12-427A-B8DE-A71E9148CA05}" keepAlive="1" name="Query - results_1" description="Connection to the 'results_1' query in the workbook." type="5" refreshedVersion="8" background="1" saveData="1">
    <dbPr connection="Provider=Microsoft.Mashup.OleDb.1;Data Source=$Workbook$;Location=results_1;Extended Properties=&quot;&quot;" command="SELECT * FROM [results_1]"/>
  </connection>
  <connection id="2" xr16:uid="{CF7AF95F-DABA-4586-A30A-F7595CAA1413}" keepAlive="1" name="Query - results_optimized" description="Connection to the 'results_optimized' query in the workbook." type="5" refreshedVersion="8" background="1" saveData="1">
    <dbPr connection="Provider=Microsoft.Mashup.OleDb.1;Data Source=$Workbook$;Location=results_optimized;Extended Properties=&quot;&quot;" command="SELECT * FROM [results_optimized]"/>
  </connection>
</connections>
</file>

<file path=xl/sharedStrings.xml><?xml version="1.0" encoding="utf-8"?>
<sst xmlns="http://schemas.openxmlformats.org/spreadsheetml/2006/main" count="733" uniqueCount="462">
  <si>
    <t>Hamming Loss</t>
  </si>
  <si>
    <t>SBERT + HDBSCAN + LogisticRegression</t>
  </si>
  <si>
    <t>0.0411</t>
  </si>
  <si>
    <t>0.0420</t>
  </si>
  <si>
    <t>0.0456</t>
  </si>
  <si>
    <t>0.0556</t>
  </si>
  <si>
    <t>0.0881</t>
  </si>
  <si>
    <t>Accuracy</t>
  </si>
  <si>
    <t>0.0876</t>
  </si>
  <si>
    <t>0.0834</t>
  </si>
  <si>
    <t>0.0613</t>
  </si>
  <si>
    <t>0.0263</t>
  </si>
  <si>
    <t>0.0016</t>
  </si>
  <si>
    <t>Precision</t>
  </si>
  <si>
    <t>0.7406</t>
  </si>
  <si>
    <t>0.6793</t>
  </si>
  <si>
    <t>0.6090</t>
  </si>
  <si>
    <t>0.5181</t>
  </si>
  <si>
    <t>0.3818</t>
  </si>
  <si>
    <t>Recall</t>
  </si>
  <si>
    <t>0.4567</t>
  </si>
  <si>
    <t>0.5335</t>
  </si>
  <si>
    <t>0.6142</t>
  </si>
  <si>
    <t>0.7046</t>
  </si>
  <si>
    <t>0.8209</t>
  </si>
  <si>
    <t>F1 Score</t>
  </si>
  <si>
    <t>0.5650</t>
  </si>
  <si>
    <t>0.5976</t>
  </si>
  <si>
    <t>0.6116</t>
  </si>
  <si>
    <t>0.5972</t>
  </si>
  <si>
    <t>0.5212</t>
  </si>
  <si>
    <t>SBERT + HDBSCAN + SVM</t>
  </si>
  <si>
    <t>0.0404</t>
  </si>
  <si>
    <t>0.0413</t>
  </si>
  <si>
    <t>0.0447</t>
  </si>
  <si>
    <t>0.0540</t>
  </si>
  <si>
    <t>0.0853</t>
  </si>
  <si>
    <t>0.0946</t>
  </si>
  <si>
    <t>0.0873</t>
  </si>
  <si>
    <t>0.0663</t>
  </si>
  <si>
    <t>0.0312</t>
  </si>
  <si>
    <t>0.0026</t>
  </si>
  <si>
    <t>0.7411</t>
  </si>
  <si>
    <t>0.6840</t>
  </si>
  <si>
    <t>0.6169</t>
  </si>
  <si>
    <t>0.5282</t>
  </si>
  <si>
    <t>0.3906</t>
  </si>
  <si>
    <t>0.4744</t>
  </si>
  <si>
    <t>0.5450</t>
  </si>
  <si>
    <t>0.6210</t>
  </si>
  <si>
    <t>0.7063</t>
  </si>
  <si>
    <t>0.8194</t>
  </si>
  <si>
    <t>0.5785</t>
  </si>
  <si>
    <t>0.6067</t>
  </si>
  <si>
    <t>0.6190</t>
  </si>
  <si>
    <t>0.6044</t>
  </si>
  <si>
    <t>0.5290</t>
  </si>
  <si>
    <t>SBERT + HDBSCAN + XGBoost</t>
  </si>
  <si>
    <t>0.0401</t>
  </si>
  <si>
    <t>0.0402</t>
  </si>
  <si>
    <t>0.0418</t>
  </si>
  <si>
    <t>0.0466</t>
  </si>
  <si>
    <t>0.0616</t>
  </si>
  <si>
    <t>0.1057</t>
  </si>
  <si>
    <t>0.1047</t>
  </si>
  <si>
    <t>0.0914</t>
  </si>
  <si>
    <t>0.0632</t>
  </si>
  <si>
    <t>0.0170</t>
  </si>
  <si>
    <t>0.7635</t>
  </si>
  <si>
    <t>0.7154</t>
  </si>
  <si>
    <t>0.6615</t>
  </si>
  <si>
    <t>0.5925</t>
  </si>
  <si>
    <t>0.4824</t>
  </si>
  <si>
    <t>0.4554</t>
  </si>
  <si>
    <t>0.5193</t>
  </si>
  <si>
    <t>0.5820</t>
  </si>
  <si>
    <t>0.6506</t>
  </si>
  <si>
    <t>0.7447</t>
  </si>
  <si>
    <t>0.5705</t>
  </si>
  <si>
    <t>0.6017</t>
  </si>
  <si>
    <t>0.6192</t>
  </si>
  <si>
    <t>0.6202</t>
  </si>
  <si>
    <t>0.5855</t>
  </si>
  <si>
    <t>SBERT + HierarchicalClustering + LogisticRegression</t>
  </si>
  <si>
    <t>0.0538</t>
  </si>
  <si>
    <t>0.0549</t>
  </si>
  <si>
    <t>0.0595</t>
  </si>
  <si>
    <t>0.0723</t>
  </si>
  <si>
    <t>0.1148</t>
  </si>
  <si>
    <t>0.0812</t>
  </si>
  <si>
    <t>0.0762</t>
  </si>
  <si>
    <t>0.0236</t>
  </si>
  <si>
    <t>0.7449</t>
  </si>
  <si>
    <t>0.6845</t>
  </si>
  <si>
    <t>0.6137</t>
  </si>
  <si>
    <t>0.5233</t>
  </si>
  <si>
    <t>0.3855</t>
  </si>
  <si>
    <t>0.4590</t>
  </si>
  <si>
    <t>0.5344</t>
  </si>
  <si>
    <t>0.7056</t>
  </si>
  <si>
    <t>0.8234</t>
  </si>
  <si>
    <t>0.5680</t>
  </si>
  <si>
    <t>0.6002</t>
  </si>
  <si>
    <t>0.6140</t>
  </si>
  <si>
    <t>0.6009</t>
  </si>
  <si>
    <t>0.5252</t>
  </si>
  <si>
    <t>SBERT + HierarchicalClustering + SVM</t>
  </si>
  <si>
    <t>0.0530</t>
  </si>
  <si>
    <t>0.0539</t>
  </si>
  <si>
    <t>0.0584</t>
  </si>
  <si>
    <t>0.0702</t>
  </si>
  <si>
    <t>0.1107</t>
  </si>
  <si>
    <t>0.0867</t>
  </si>
  <si>
    <t>0.0813</t>
  </si>
  <si>
    <t>0.0593</t>
  </si>
  <si>
    <t>0.0277</t>
  </si>
  <si>
    <t>0.0019</t>
  </si>
  <si>
    <t>0.7458</t>
  </si>
  <si>
    <t>0.6907</t>
  </si>
  <si>
    <t>0.6212</t>
  </si>
  <si>
    <t>0.3953</t>
  </si>
  <si>
    <t>0.4739</t>
  </si>
  <si>
    <t>0.5443</t>
  </si>
  <si>
    <t>0.6203</t>
  </si>
  <si>
    <t>0.7069</t>
  </si>
  <si>
    <t>0.8222</t>
  </si>
  <si>
    <t>0.5795</t>
  </si>
  <si>
    <t>0.6088</t>
  </si>
  <si>
    <t>0.6207</t>
  </si>
  <si>
    <t>0.6081</t>
  </si>
  <si>
    <t>0.5339</t>
  </si>
  <si>
    <t>SBERT + HierarchicalClustering + XGBoost</t>
  </si>
  <si>
    <t>0.0525</t>
  </si>
  <si>
    <t>0.0526</t>
  </si>
  <si>
    <t>0.0545</t>
  </si>
  <si>
    <t>0.0604</t>
  </si>
  <si>
    <t>0.0793</t>
  </si>
  <si>
    <t>0.0998</t>
  </si>
  <si>
    <t>0.1007</t>
  </si>
  <si>
    <t>0.0836</t>
  </si>
  <si>
    <t>0.0562</t>
  </si>
  <si>
    <t>0.0168</t>
  </si>
  <si>
    <t>0.7710</t>
  </si>
  <si>
    <t>0.7239</t>
  </si>
  <si>
    <t>0.6699</t>
  </si>
  <si>
    <t>0.6000</t>
  </si>
  <si>
    <t>0.4906</t>
  </si>
  <si>
    <t>0.4538</t>
  </si>
  <si>
    <t>0.5140</t>
  </si>
  <si>
    <t>0.5766</t>
  </si>
  <si>
    <t>0.6494</t>
  </si>
  <si>
    <t>0.7456</t>
  </si>
  <si>
    <t>0.5713</t>
  </si>
  <si>
    <t>0.6011</t>
  </si>
  <si>
    <t>0.6197</t>
  </si>
  <si>
    <t>0.6237</t>
  </si>
  <si>
    <t>0.5918</t>
  </si>
  <si>
    <t>TFIDF + HDBSCAN + LogisticRegression</t>
  </si>
  <si>
    <t>0.0373</t>
  </si>
  <si>
    <t>0.0367</t>
  </si>
  <si>
    <t>0.0388</t>
  </si>
  <si>
    <t>0.0462</t>
  </si>
  <si>
    <t>0.0747</t>
  </si>
  <si>
    <t>0.0886</t>
  </si>
  <si>
    <t>0.0774</t>
  </si>
  <si>
    <t>0.0424</t>
  </si>
  <si>
    <t>0.0024</t>
  </si>
  <si>
    <t>0.7925</t>
  </si>
  <si>
    <t>0.7426</t>
  </si>
  <si>
    <t>0.6711</t>
  </si>
  <si>
    <t>0.5742</t>
  </si>
  <si>
    <t>0.4171</t>
  </si>
  <si>
    <t>0.4589</t>
  </si>
  <si>
    <t>0.5357</t>
  </si>
  <si>
    <t>0.6118</t>
  </si>
  <si>
    <t>0.7003</t>
  </si>
  <si>
    <t>0.8164</t>
  </si>
  <si>
    <t>0.5812</t>
  </si>
  <si>
    <t>0.6224</t>
  </si>
  <si>
    <t>0.6401</t>
  </si>
  <si>
    <t>0.6310</t>
  </si>
  <si>
    <t>0.5522</t>
  </si>
  <si>
    <t>TFIDF + HDBSCAN + SVM</t>
  </si>
  <si>
    <t>0.0371</t>
  </si>
  <si>
    <t>0.0372</t>
  </si>
  <si>
    <t>0.0400</t>
  </si>
  <si>
    <t>0.0488</t>
  </si>
  <si>
    <t>0.0797</t>
  </si>
  <si>
    <t>0.0932</t>
  </si>
  <si>
    <t>0.0961</t>
  </si>
  <si>
    <t>0.0423</t>
  </si>
  <si>
    <t>0.0048</t>
  </si>
  <si>
    <t>0.7717</t>
  </si>
  <si>
    <t>0.7194</t>
  </si>
  <si>
    <t>0.6488</t>
  </si>
  <si>
    <t>0.5524</t>
  </si>
  <si>
    <t>0.3992</t>
  </si>
  <si>
    <t>0.4855</t>
  </si>
  <si>
    <t>0.5586</t>
  </si>
  <si>
    <t>0.6328</t>
  </si>
  <si>
    <t>0.7128</t>
  </si>
  <si>
    <t>0.8182</t>
  </si>
  <si>
    <t>0.5960</t>
  </si>
  <si>
    <t>0.6289</t>
  </si>
  <si>
    <t>0.6407</t>
  </si>
  <si>
    <t>0.5366</t>
  </si>
  <si>
    <t>TFIDF + HDBSCAN + XGBoost</t>
  </si>
  <si>
    <t>0.0377</t>
  </si>
  <si>
    <t>0.0376</t>
  </si>
  <si>
    <t>0.0398</t>
  </si>
  <si>
    <t>0.0477</t>
  </si>
  <si>
    <t>0.0773</t>
  </si>
  <si>
    <t>0.0791</t>
  </si>
  <si>
    <t>0.0678</t>
  </si>
  <si>
    <t>0.0331</t>
  </si>
  <si>
    <t>0.0028</t>
  </si>
  <si>
    <t>0.7754</t>
  </si>
  <si>
    <t>0.7230</t>
  </si>
  <si>
    <t>0.6568</t>
  </si>
  <si>
    <t>0.5622</t>
  </si>
  <si>
    <t>0.4068</t>
  </si>
  <si>
    <t>0.4674</t>
  </si>
  <si>
    <t>0.5408</t>
  </si>
  <si>
    <t>0.6175</t>
  </si>
  <si>
    <t>0.6989</t>
  </si>
  <si>
    <t>0.8068</t>
  </si>
  <si>
    <t>0.5832</t>
  </si>
  <si>
    <t>0.6188</t>
  </si>
  <si>
    <t>0.6366</t>
  </si>
  <si>
    <t>0.6231</t>
  </si>
  <si>
    <t>0.5409</t>
  </si>
  <si>
    <t>TFIDF + HierarchicalClustering + LogisticRegression</t>
  </si>
  <si>
    <t>0.0506</t>
  </si>
  <si>
    <t>0.0501</t>
  </si>
  <si>
    <t>0.0528</t>
  </si>
  <si>
    <t>0.0634</t>
  </si>
  <si>
    <t>0.1041</t>
  </si>
  <si>
    <t>0.0854</t>
  </si>
  <si>
    <t>0.0941</t>
  </si>
  <si>
    <t>0.0826</t>
  </si>
  <si>
    <t>0.0383</t>
  </si>
  <si>
    <t>0.7931</t>
  </si>
  <si>
    <t>0.7376</t>
  </si>
  <si>
    <t>0.6665</t>
  </si>
  <si>
    <t>0.5672</t>
  </si>
  <si>
    <t>0.4083</t>
  </si>
  <si>
    <t>0.4524</t>
  </si>
  <si>
    <t>0.5295</t>
  </si>
  <si>
    <t>0.6122</t>
  </si>
  <si>
    <t>0.7044</t>
  </si>
  <si>
    <t>0.8231</t>
  </si>
  <si>
    <t>0.5762</t>
  </si>
  <si>
    <t>0.6165</t>
  </si>
  <si>
    <t>0.6382</t>
  </si>
  <si>
    <t>0.6284</t>
  </si>
  <si>
    <t>0.5459</t>
  </si>
  <si>
    <t>TFIDF + HierarchicalClustering + SVM</t>
  </si>
  <si>
    <t>0.0507</t>
  </si>
  <si>
    <t>0.0510</t>
  </si>
  <si>
    <t>0.0548</t>
  </si>
  <si>
    <t>0.0676</t>
  </si>
  <si>
    <t>0.1115</t>
  </si>
  <si>
    <t>0.0933</t>
  </si>
  <si>
    <t>0.0953</t>
  </si>
  <si>
    <t>0.0806</t>
  </si>
  <si>
    <t>0.0385</t>
  </si>
  <si>
    <t>0.0037</t>
  </si>
  <si>
    <t>0.7698</t>
  </si>
  <si>
    <t>0.7132</t>
  </si>
  <si>
    <t>0.6428</t>
  </si>
  <si>
    <t>0.5424</t>
  </si>
  <si>
    <t>0.3893</t>
  </si>
  <si>
    <t>0.4751</t>
  </si>
  <si>
    <t>0.5505</t>
  </si>
  <si>
    <t>0.6278</t>
  </si>
  <si>
    <t>0.7120</t>
  </si>
  <si>
    <t>0.8203</t>
  </si>
  <si>
    <t>0.5876</t>
  </si>
  <si>
    <t>0.6214</t>
  </si>
  <si>
    <t>0.6352</t>
  </si>
  <si>
    <t>0.6158</t>
  </si>
  <si>
    <t>0.5280</t>
  </si>
  <si>
    <t>TFIDF + HierarchicalClustering + XGBoost</t>
  </si>
  <si>
    <t>0.0513</t>
  </si>
  <si>
    <t>0.0514</t>
  </si>
  <si>
    <t>0.0544</t>
  </si>
  <si>
    <t>0.0654</t>
  </si>
  <si>
    <t>0.1070</t>
  </si>
  <si>
    <t>0.0796</t>
  </si>
  <si>
    <t>0.0843</t>
  </si>
  <si>
    <t>0.0736</t>
  </si>
  <si>
    <t>0.0325</t>
  </si>
  <si>
    <t>0.0020</t>
  </si>
  <si>
    <t>0.7779</t>
  </si>
  <si>
    <t>0.7205</t>
  </si>
  <si>
    <t>0.6521</t>
  </si>
  <si>
    <t>0.5556</t>
  </si>
  <si>
    <t>0.3997</t>
  </si>
  <si>
    <t>0.4550</t>
  </si>
  <si>
    <t>0.5294</t>
  </si>
  <si>
    <t>0.6108</t>
  </si>
  <si>
    <t>0.6972</t>
  </si>
  <si>
    <t>0.8111</t>
  </si>
  <si>
    <t>0.5741</t>
  </si>
  <si>
    <t>0.6103</t>
  </si>
  <si>
    <t>0.6308</t>
  </si>
  <si>
    <t>0.6184</t>
  </si>
  <si>
    <t>0.5355</t>
  </si>
  <si>
    <t/>
  </si>
  <si>
    <t>Algorithms</t>
  </si>
  <si>
    <t>0.0615</t>
  </si>
  <si>
    <t>0.0336</t>
  </si>
  <si>
    <t>0.4812</t>
  </si>
  <si>
    <t>0.6732</t>
  </si>
  <si>
    <t>0.5613</t>
  </si>
  <si>
    <t>0.0523</t>
  </si>
  <si>
    <t>0.6053</t>
  </si>
  <si>
    <t>0.0480</t>
  </si>
  <si>
    <t>0.0682</t>
  </si>
  <si>
    <t>0.5782</t>
  </si>
  <si>
    <t>0.6620</t>
  </si>
  <si>
    <t>0.6173</t>
  </si>
  <si>
    <t>0.0689</t>
  </si>
  <si>
    <t>0.5445</t>
  </si>
  <si>
    <t>0.6520</t>
  </si>
  <si>
    <t>0.5934</t>
  </si>
  <si>
    <t>0.0635</t>
  </si>
  <si>
    <t>0.0491</t>
  </si>
  <si>
    <t>0.5775</t>
  </si>
  <si>
    <t>0.6593</t>
  </si>
  <si>
    <t>0.6157</t>
  </si>
  <si>
    <t>0.0614</t>
  </si>
  <si>
    <t>0.0666</t>
  </si>
  <si>
    <t>0.5921</t>
  </si>
  <si>
    <t>0.6548</t>
  </si>
  <si>
    <t>0.6219</t>
  </si>
  <si>
    <t>0.0451</t>
  </si>
  <si>
    <t>0.0581</t>
  </si>
  <si>
    <t>0.5865</t>
  </si>
  <si>
    <t>0.6772</t>
  </si>
  <si>
    <t>0.6286</t>
  </si>
  <si>
    <t>0.0440</t>
  </si>
  <si>
    <t>0.0660</t>
  </si>
  <si>
    <t>0.5997</t>
  </si>
  <si>
    <t>0.6611</t>
  </si>
  <si>
    <t>0.0630</t>
  </si>
  <si>
    <t>0.0114</t>
  </si>
  <si>
    <t>0.4595</t>
  </si>
  <si>
    <t>0.6628</t>
  </si>
  <si>
    <t>0.5428</t>
  </si>
  <si>
    <t>0.0592</t>
  </si>
  <si>
    <t>0.0644</t>
  </si>
  <si>
    <t>0.5996</t>
  </si>
  <si>
    <t>0.6658</t>
  </si>
  <si>
    <t>0.0721</t>
  </si>
  <si>
    <t>0.6083</t>
  </si>
  <si>
    <t>0.6509</t>
  </si>
  <si>
    <t>0.6288</t>
  </si>
  <si>
    <t>0.0577</t>
  </si>
  <si>
    <t>0.6141</t>
  </si>
  <si>
    <t>0.6498</t>
  </si>
  <si>
    <t>0.6314</t>
  </si>
  <si>
    <t>Desc 1</t>
  </si>
  <si>
    <t>Comedia</t>
  </si>
  <si>
    <t>Desc 2</t>
  </si>
  <si>
    <t>Desc 3</t>
  </si>
  <si>
    <t>Desc 4</t>
  </si>
  <si>
    <t>Desc 5</t>
  </si>
  <si>
    <t>Desc 6</t>
  </si>
  <si>
    <t xml:space="preserve"> Fantasy: 0.4663
 Fiction: 0.7939</t>
  </si>
  <si>
    <t xml:space="preserve"> Adventure: 0.3010
 Fantasy: 0.9774
 Fiction: 0.8788
 Graphic Novels: 0.4370
 Magic: 0.2748
 Sequential Art: 0.3533</t>
  </si>
  <si>
    <t xml:space="preserve"> Childrens: 0.4908
 Fantasy: 0.8359
 Fiction: 0.7907
 Mystery: 0.7719</t>
  </si>
  <si>
    <t xml:space="preserve"> Nonfiction: 0.3800
 Romance: 0.5224
 Sequential Art: 0.2636</t>
  </si>
  <si>
    <t xml:space="preserve"> Childrens: 0.2514
 Contemporary: 0.3508
 Fiction: 0.8083
 Middle Grade: 0.1547
 Mystery: 0.3801
 Travel: 0.1621
 Young Adult: 0.6892</t>
  </si>
  <si>
    <t xml:space="preserve"> Fiction: 0.5857</t>
  </si>
  <si>
    <t>Fantasy: 0.8199
 Fiction: 0.8293
 Mystery: 0.8218
 Young Adult: 0.3680</t>
  </si>
  <si>
    <t xml:space="preserve"> Adventure: 0.3116
 Fantasy: 0.9915
 Fiction: 0.9729
 Magic: 0.1983</t>
  </si>
  <si>
    <t xml:space="preserve"> Childrens: 0.5371
 Fantasy: 0.8442
 Fiction: 0.8226
 Middle Grade: 0.1695
 Mystery: 0.5989
 Young Adult: 0.4253</t>
  </si>
  <si>
    <t xml:space="preserve"> Audiobook: 0.1409
 Contemporary: 0.4664
 Nonfiction: 0.3944
 Romance: 0.9314
 Young Adult: 0.7268</t>
  </si>
  <si>
    <t xml:space="preserve"> Contemporary: 0.4133
 Fiction: 0.7273
 Humor: 0.2193</t>
  </si>
  <si>
    <t xml:space="preserve"> 19th Century: 0.1107
 Cultural: 0.3843
 Fiction: 0.6656
 France: 0.2670
 Historical: 0.4294
 Romance: 0.3380</t>
  </si>
  <si>
    <t xml:space="preserve"> Fantasy: 0.6708
 Fiction: 0.8390
 Harlequin: 0.0009
 Mystery: 0.6510
 Young Adult: 0.4348</t>
  </si>
  <si>
    <t xml:space="preserve"> Adventure: 0.3892
 Fantasy: 0.9838
 Fiction: 0.9646
 Magic: 0.2680</t>
  </si>
  <si>
    <t xml:space="preserve"> Childrens: 0.4675
 Fantasy: 0.7460
 Fiction: 0.8053
 Mystery: 0.6547</t>
  </si>
  <si>
    <t xml:space="preserve"> Contemporary: 0.4250
 Harlequin: 0.0009
 Romance: 0.8804
 Young Adult: 0.5311</t>
  </si>
  <si>
    <t xml:space="preserve"> Contemporary: 0.4608
 Fiction: 0.7018
 Middle Grade: 0.1395
 Young Adult: 0.5337</t>
  </si>
  <si>
    <t xml:space="preserve"> 19th Century: 0.1224
 Classics: 0.2961
 Cultural: 0.4484
 Fiction: 0.7021
 France: 0.3634
 Harlequin: 0.0010
 Historical: 0.4255
 Literature: 0.2777</t>
  </si>
  <si>
    <t xml:space="preserve"> Fantasy: 0.6762
 Fiction: 0.7943
 Harlequin: 0.0009
 Mystery: 0.7533
 Young Adult: 0.4649</t>
  </si>
  <si>
    <t xml:space="preserve"> Adventure: 0.3598
 Fantasy: 0.9797
 Fiction: 0.9310
 Science Fiction Fantasy: 0.2215</t>
  </si>
  <si>
    <t xml:space="preserve"> Fantasy: 0.7086
 Fiction: 0.8392
 Humor: 0.1646
 Mystery: 0.6845
 Young Adult: 0.5502</t>
  </si>
  <si>
    <t xml:space="preserve"> Contemporary: 0.4292
 Harlequin: 0.0009
 Novels: 0.1322
 Romance: 0.7933
 Young Adult: 0.4662</t>
  </si>
  <si>
    <t xml:space="preserve"> Contemporary: 0.4706
 Fiction: 0.7811
 Middle Grade: 0.1395
 Young Adult: 0.6778</t>
  </si>
  <si>
    <t xml:space="preserve"> Anthropology: 0.0031
 Architecture: 0.0008
 Classics: 0.2830
 Cultural: 0.4385
 Fiction: 0.6591
 France: 0.3811
 Harlequin: 0.0010
 Historical: 0.3772
 Literature: 0.2721
 Sex Work: 0.0002
 World War II: 0.1636</t>
  </si>
  <si>
    <t>Fantasy: 0.7855
 Fiction: 0.7656
 Mystery: 0.8844
 Young Adult: 0.4253</t>
  </si>
  <si>
    <t xml:space="preserve"> Adventure: 0.2977
 Fantasy: 0.9917
 Fiction: 0.9309</t>
  </si>
  <si>
    <t xml:space="preserve"> Fantasy: 0.8324
 Fiction: 0.8650
 Humor: 0.2482
 Middle Grade: 0.1695
 Mystery: 0.7140
 Novels: 0.2336
 Young Adult: 0.6957</t>
  </si>
  <si>
    <t xml:space="preserve"> Audiobook: 0.1409
 Contemporary: 0.4539
 Novels: 0.1961
 Romance: 0.8425
 Young Adult: 0.6528</t>
  </si>
  <si>
    <t xml:space="preserve"> Contemporary: 0.4294
 Fiction: 0.7780
 Humor: 0.1800
 Young Adult: 0.5367</t>
  </si>
  <si>
    <t xml:space="preserve"> Architecture: 0.0254
 Cultural: 0.3911
 Fiction: 0.6236
 France: 0.3095
 Historical: 0.3686
 World War II: 0.2287</t>
  </si>
  <si>
    <t xml:space="preserve"> Fantasy: 0.5067
 Fiction: 0.7801
 International Relations: 0.0000
 Sex Work: 0.0002
 Young Adult: 0.3893</t>
  </si>
  <si>
    <t xml:space="preserve"> Comics: 0.4531
 Fantasy: 0.9667
 Fiction: 0.8411
 International Relations: 0.0000
 Novels: 0.1390
 Science Fiction Fantasy: 0.6925
 Sequential Art: 0.3340
 Sex Work: 0.0002</t>
  </si>
  <si>
    <t xml:space="preserve"> Architecture: 0.1213
 Fantasy: 0.8236
 Fiction: 0.7530
 International Relations: 0.0000
 Mystery: 0.8362
 Sex Work: 0.0002</t>
  </si>
  <si>
    <t xml:space="preserve"> Contemporary: 0.2774
 International Relations: 0.0005
 Romance: 0.5304
 Sequential Art: 0.3033
 Sex Work: 0.0002</t>
  </si>
  <si>
    <t xml:space="preserve"> Contemporary: 0.4734
 Fiction: 0.7451
 Middle Grade: 0.1547
 Mystery: 0.4691
 Sex Work: 0.0001
 Young Adult: 0.6694</t>
  </si>
  <si>
    <t xml:space="preserve"> Fiction: 0.6104
 International Relations: 0.0000
 Sex Work: 0.0002</t>
  </si>
  <si>
    <t xml:space="preserve"> Fantasy: 0.9777
 Fiction: 0.8338
 Young Adult: 0.4293</t>
  </si>
  <si>
    <t xml:space="preserve"> Classics: 0.4890
 European Literature: 0.5555
 Fantasy: 0.5123
 Fiction: 0.9050
 Harlequin: 0.0013
 Literature: 0.5704
 Mystery: 0.7035
 Steampunk: 0.0933
 Thriller: 0.4657</t>
  </si>
  <si>
    <t xml:space="preserve"> Childrens: 0.3200
 Fantasy: 0.4295
 Fiction: 0.8032
 Middle Grade: 0.1592
 Mystery: 0.8328
 Thriller: 0.3614</t>
  </si>
  <si>
    <t xml:space="preserve"> Fiction: 0.5668
 Romance: 0.7994
 Young Adult: 0.4558</t>
  </si>
  <si>
    <t xml:space="preserve"> Adventure: 0.1739
 Childrens: 0.3528
 Fiction: 0.7813
 Harlequin: 0.0013
 Mystery: 0.5612
 Thriller: 0.2940
 Young Adult: 0.3580</t>
  </si>
  <si>
    <t xml:space="preserve"> Dragons: 0.1802
 Fantasy: 0.9973
 Fiction: 0.6935
 Magic: 0.6882
 Young Adult: 0.7296</t>
  </si>
  <si>
    <t xml:space="preserve"> Classics: 0.4921
 European Literature: 0.5318
 Fantasy: 0.4706
 Fiction: 0.9173
 Literature: 0.5649
 Mystery: 0.7948
 Thriller: 0.4595</t>
  </si>
  <si>
    <t xml:space="preserve"> Fantasy: 0.9798
 Fiction: 0.8442
 Young Adult: 0.4425</t>
  </si>
  <si>
    <t xml:space="preserve"> Childrens: 0.3828
 Fiction: 0.7198
 Mystery: 0.8693
 Thriller: 0.2760</t>
  </si>
  <si>
    <t xml:space="preserve"> Fiction: 0.5843
 Romance: 0.8310
 Young Adult: 0.4568</t>
  </si>
  <si>
    <t xml:space="preserve"> Adventure: 0.2610
 Childrens: 0.3023
 Fiction: 0.7989
 Middle Grade: 0.1853
 Mystery: 0.4943
 Young Adult: 0.4261</t>
  </si>
  <si>
    <t xml:space="preserve"> Dragons: 0.1502
 Fantasy: 0.9980
 Fiction: 0.6963
 Magic: 0.6928
 Young Adult: 0.7442</t>
  </si>
  <si>
    <t xml:space="preserve"> Classics: 0.4204
 Cultural: 0.1426
 Fiction: 0.8591
 Historical: 0.3243
 Literature: 0.3322
 Mystery: 0.3574
 Thriller: 0.2642</t>
  </si>
  <si>
    <t xml:space="preserve"> Fantasy: 0.9779
 Fiction: 0.8276
 Steampunk: 0.0626</t>
  </si>
  <si>
    <t xml:space="preserve"> Childrens: 0.1846
 Fantasy: 0.5093
 Fiction: 0.8355
 Mystery: 0.6419
 Thriller: 0.2138</t>
  </si>
  <si>
    <t xml:space="preserve"> Fantasy: 0.3801
 Fiction: 0.5939
 Romance: 0.7804
 Young Adult: 0.4131</t>
  </si>
  <si>
    <t xml:space="preserve"> Fiction: 0.8112
 Mystery: 0.5473</t>
  </si>
  <si>
    <t xml:space="preserve"> Dragons: 0.0961
 Fantasy: 0.9915
 Fiction: 0.5066
 Magic: 0.2403
 Young Adult: 0.4235</t>
  </si>
  <si>
    <t xml:space="preserve"> Classics: 0.4427
 Fantasy: 0.9034
 Fiction: 0.8604
 France: 0.2176
 Harlequin: 0.0013
 Light Novel: 0.0014
 Literature: 0.7028
 Other: 0.1777
 Science Fiction: 0.5268
 Sequential Art: 0.2828
 Steampunk: 0.0655</t>
  </si>
  <si>
    <t xml:space="preserve"> Fantasy: 0.9630
 Fiction: 0.6553
 Light Novel: 0.0013
 Other: 0.2187
 Science Fiction: 0.9318
 Steampunk: 0.1647
 Young Adult: 0.4323</t>
  </si>
  <si>
    <t xml:space="preserve"> Fantasy: 0.8938
 Fiction: 0.8160
 Gothic: 0.1094
 Middle Grade: 0.1592
 Other: 0.1407</t>
  </si>
  <si>
    <t xml:space="preserve"> Contemporary: 0.4474
 Fiction: 0.5359
 Romance: 0.7346
 Young Adult: 0.3337</t>
  </si>
  <si>
    <t xml:space="preserve"> Adventure: 0.1609
 Contemporary: 0.3921
 Fantasy: 0.7048
 Fiction: 0.7463
 Harlequin: 0.0013
 Young Adult: 0.6419</t>
  </si>
  <si>
    <t xml:space="preserve"> Fantasy: 0.9910
 Fiction: 0.6291
 Science Fiction: 0.3540
 Young Adult: 0.6555</t>
  </si>
  <si>
    <t xml:space="preserve"> 19th Century: 0.1174
 Classics: 0.4184
 Fantasy: 0.9165
 Fiction: 0.8649
 Literature: 0.6405
 Science Fiction: 0.6497
 Sequential Art: 0.2506
 Steampunk: 0.2272</t>
  </si>
  <si>
    <t xml:space="preserve"> Fantasy: 0.9672
 Fiction: 0.7118
 Science Fiction: 0.9727
 Space: 0.1262
 Young Adult: 0.4753</t>
  </si>
  <si>
    <t xml:space="preserve"> Fantasy: 0.8822
 Fiction: 0.7481</t>
  </si>
  <si>
    <t xml:space="preserve"> Contemporary: 0.5059
 Fiction: 0.5636
 Romance: 0.7789</t>
  </si>
  <si>
    <t xml:space="preserve"> Adventure: 0.2593
 Contemporary: 0.3704
 Fantasy: 0.7067
 Fiction: 0.7626
 Middle Grade: 0.1853
 Young Adult: 0.6950</t>
  </si>
  <si>
    <t xml:space="preserve"> Fantasy: 0.9926
 Fiction: 0.6287
 Science Fiction: 0.3570
 Young Adult: 0.6721</t>
  </si>
  <si>
    <t xml:space="preserve"> Classics: 0.3145
 Cultural: 0.2724
 Fantasy: 0.7484
 Fiction: 0.8367
 Literature: 0.4992
 Steampunk: 0.0299
 Travel: 0.0208</t>
  </si>
  <si>
    <t xml:space="preserve"> Fantasy: 0.9790
 Fiction: 0.7609
 Science Fiction: 0.9614
 Space: 0.0109
 Steampunk: 0.0799
 Young Adult: 0.3762</t>
  </si>
  <si>
    <t xml:space="preserve"> Fantasy: 0.8684
 Fiction: 0.6829
 Gothic: 0.0040
 Young Adult: 0.4744</t>
  </si>
  <si>
    <t xml:space="preserve"> Fantasy: 0.5037
 Fiction: 0.7037
 Romance: 0.7908
 Sequential Art: 0.3101
 Young Adult: 0.4565</t>
  </si>
  <si>
    <t xml:space="preserve"> Fantasy: 0.5933
 Fiction: 0.7070
 Young Adult: 0.5566</t>
  </si>
  <si>
    <t xml:space="preserve"> Fantasy: 0.9902
 Young Adult: 0.5205</t>
  </si>
  <si>
    <t>London, 1888. Beneath the fog-filled streets and flickering gas lamps, the city whispers with rumors of a series of strange disappearances. Each vanished person was last seen near the same narrow alley in Whitechapel—and each left behind an identical object: a small, intricately crafted pocket watch that always stops at exactly 3:17 a.m.</t>
  </si>
  <si>
    <t>In a distant future where advanced technology has unlocked portals to forgotten realms, humanity discovers a hidden universe filled with ancient magic and mythical creatures. When a young astrophysicist accidentally activates a long-dormant gateway orbiting Earth, she unleashes a mysterious force that begins merging science and sorcery.</t>
  </si>
  <si>
    <t>The Parker family just wanted a peaceful weekend getaway in the countryside. Instead, they end up renting an old mansion that the locals refuse to talk about. According to the listing, the house is “full of character.” What it doesn’t mention is that the character includes a grumpy ghost, a mischievous shadow creature, and a cursed doll that really hates loud children.</t>
  </si>
  <si>
    <t>Lena never believed in fate. As a determined art student trying to balance college, part-time jobs, and her dreams of becoming a painter, she’s convinced life is all about hard work—not destiny. Then she literally collides with Noah. Noah is a quiet but thoughtful engineering student who prefers books and late-night coffee over crowded parties. When Lena accidentally spills an entire cup of coffee over his carefully organized notes in a campus café, their first meeting is anything but romantic.</t>
  </si>
  <si>
    <t>For as long as they can remember, five friends have shared one strange thing in common: absolutely terrible luck.\nThere’s Jake, who once slipped on a banana peel… in a parking lot… where there were no bananas.\nMaya, whose phone always dies exactly when something important happens.\nLuis, who somehow sets off alarms in stores even when he doesn’t buy anything.\nSophie, whose GPS constantly sends the group to the wrong places.\nAnd Ben, who has broken six chairs in his life just by sitting down.\nDespite their ridiculous streak of misfortune, they decide to finally do something exciting together: a weekend road trip to attend a huge festival.</t>
  </si>
  <si>
    <t>Num reino onde a magia é proibida e as estrelas são vistas como presságios de desgraça, Elara esconde um segredo que pode mudar tudo: ela consegue ouvir o sussurro do céu.\nQuando conhece Kael, um misterioso viajante com um passado envolto em sombras, o destino de ambos entrelaça-se de forma inesperada. À medida que forças antigas despertam e uma guerra se aproxima, Elara e Kael são obrigados a confiar um no outro para sobreviver.</t>
  </si>
  <si>
    <t>0,5</t>
  </si>
  <si>
    <t>0,4</t>
  </si>
  <si>
    <t>0,3</t>
  </si>
  <si>
    <t>0,2</t>
  </si>
  <si>
    <t>0,1</t>
  </si>
  <si>
    <t>value</t>
  </si>
  <si>
    <t>solution</t>
  </si>
  <si>
    <t>metric</t>
  </si>
  <si>
    <t>per label</t>
  </si>
  <si>
    <t>Results for best thresold per label</t>
  </si>
  <si>
    <t>Historical, Mystery</t>
  </si>
  <si>
    <t>Fantasy, Science Fiction</t>
  </si>
  <si>
    <t>Horror, Family</t>
  </si>
  <si>
    <t>Romance, Young Adults</t>
  </si>
  <si>
    <t>Romance, Fantasy, Portuguese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</si>
</sst>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5" x14ac:knownFonts="1">
    <font>
      <sz val="11"/>
      <color theme="1"/>
      <name val="Aptos Narrow"/>
      <family val="2"/>
      <scheme val="minor"/>
    </font>
    <font>
      <sz val="11"/>
      <color theme="1"/>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s>
  <fills count="4">
    <fill>
      <patternFill patternType="none"/>
    </fill>
    <fill>
      <patternFill patternType="gray125"/>
    </fill>
    <fill>
      <patternFill patternType="solid">
        <fgColor theme="9"/>
      </patternFill>
    </fill>
    <fill>
      <patternFill patternType="solid">
        <fgColor theme="9" tint="0.79998168889431442"/>
        <bgColor indexed="65"/>
      </patternFill>
    </fill>
  </fills>
  <borders count="22">
    <border>
      <left/>
      <right/>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theme="9"/>
      </left>
      <right style="thin">
        <color theme="9"/>
      </right>
      <top style="thin">
        <color theme="9"/>
      </top>
      <bottom style="thin">
        <color theme="9"/>
      </bottom>
      <diagonal/>
    </border>
    <border>
      <left style="thin">
        <color theme="9"/>
      </left>
      <right/>
      <top style="thin">
        <color theme="9"/>
      </top>
      <bottom/>
      <diagonal/>
    </border>
    <border>
      <left/>
      <right/>
      <top style="thin">
        <color theme="9"/>
      </top>
      <bottom/>
      <diagonal/>
    </border>
    <border>
      <left/>
      <right style="thin">
        <color theme="9"/>
      </right>
      <top style="thin">
        <color theme="9"/>
      </top>
      <bottom/>
      <diagonal/>
    </border>
    <border>
      <left style="thin">
        <color theme="9"/>
      </left>
      <right/>
      <top/>
      <bottom/>
      <diagonal/>
    </border>
    <border>
      <left/>
      <right style="thin">
        <color theme="9"/>
      </right>
      <top/>
      <bottom/>
      <diagonal/>
    </border>
    <border>
      <left style="thin">
        <color theme="9"/>
      </left>
      <right/>
      <top/>
      <bottom style="thin">
        <color theme="9"/>
      </bottom>
      <diagonal/>
    </border>
    <border>
      <left/>
      <right/>
      <top/>
      <bottom style="thin">
        <color theme="9"/>
      </bottom>
      <diagonal/>
    </border>
    <border>
      <left/>
      <right style="thin">
        <color theme="9"/>
      </right>
      <top/>
      <bottom style="thin">
        <color theme="9"/>
      </bottom>
      <diagonal/>
    </border>
    <border>
      <left style="thin">
        <color theme="9"/>
      </left>
      <right style="thin">
        <color indexed="64"/>
      </right>
      <top style="thin">
        <color theme="9"/>
      </top>
      <bottom/>
      <diagonal/>
    </border>
    <border>
      <left style="thin">
        <color indexed="64"/>
      </left>
      <right/>
      <top style="thin">
        <color theme="9"/>
      </top>
      <bottom/>
      <diagonal/>
    </border>
    <border>
      <left/>
      <right style="thin">
        <color indexed="64"/>
      </right>
      <top style="thin">
        <color theme="9"/>
      </top>
      <bottom/>
      <diagonal/>
    </border>
    <border>
      <left style="thin">
        <color theme="9"/>
      </left>
      <right style="thin">
        <color indexed="64"/>
      </right>
      <top/>
      <bottom style="thin">
        <color indexed="64"/>
      </bottom>
      <diagonal/>
    </border>
    <border>
      <left/>
      <right style="thin">
        <color theme="9"/>
      </right>
      <top/>
      <bottom style="thin">
        <color indexed="64"/>
      </bottom>
      <diagonal/>
    </border>
    <border>
      <left style="thin">
        <color theme="9"/>
      </left>
      <right style="thin">
        <color indexed="64"/>
      </right>
      <top/>
      <bottom/>
      <diagonal/>
    </border>
    <border>
      <left style="thin">
        <color theme="9"/>
      </left>
      <right style="thin">
        <color indexed="64"/>
      </right>
      <top/>
      <bottom style="thin">
        <color theme="9"/>
      </bottom>
      <diagonal/>
    </border>
    <border>
      <left style="thin">
        <color indexed="64"/>
      </left>
      <right/>
      <top/>
      <bottom style="thin">
        <color theme="9"/>
      </bottom>
      <diagonal/>
    </border>
  </borders>
  <cellStyleXfs count="3">
    <xf numFmtId="0" fontId="0" fillId="0" borderId="0"/>
    <xf numFmtId="0" fontId="3" fillId="2" borderId="0" applyNumberFormat="0" applyBorder="0" applyAlignment="0" applyProtection="0"/>
    <xf numFmtId="0" fontId="1" fillId="3" borderId="0" applyNumberFormat="0" applyBorder="0" applyAlignment="0" applyProtection="0"/>
  </cellStyleXfs>
  <cellXfs count="45">
    <xf numFmtId="0" fontId="0" fillId="0" borderId="0" xfId="0"/>
    <xf numFmtId="164" fontId="0" fillId="0" borderId="0" xfId="0" applyNumberFormat="1"/>
    <xf numFmtId="164" fontId="0" fillId="0" borderId="1" xfId="0" applyNumberFormat="1" applyBorder="1"/>
    <xf numFmtId="0" fontId="0" fillId="0" borderId="2" xfId="0" applyBorder="1"/>
    <xf numFmtId="0" fontId="0" fillId="0" borderId="3" xfId="0" applyBorder="1"/>
    <xf numFmtId="0" fontId="0" fillId="0" borderId="0" xfId="0" applyAlignment="1">
      <alignment wrapText="1"/>
    </xf>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horizontal="center"/>
    </xf>
    <xf numFmtId="0" fontId="3" fillId="2" borderId="5" xfId="1" applyBorder="1" applyAlignment="1">
      <alignment horizontal="left" vertical="center"/>
    </xf>
    <xf numFmtId="0" fontId="0" fillId="0" borderId="5" xfId="0" applyBorder="1" applyAlignment="1">
      <alignment horizontal="left" vertical="center"/>
    </xf>
    <xf numFmtId="0" fontId="1" fillId="3" borderId="5" xfId="2" applyBorder="1" applyAlignment="1">
      <alignment horizontal="left" vertical="center"/>
    </xf>
    <xf numFmtId="0" fontId="1" fillId="3" borderId="5" xfId="2" applyBorder="1" applyAlignment="1">
      <alignment wrapText="1"/>
    </xf>
    <xf numFmtId="0" fontId="0" fillId="0" borderId="5" xfId="0" applyBorder="1" applyAlignment="1">
      <alignment wrapText="1"/>
    </xf>
    <xf numFmtId="0" fontId="0" fillId="0" borderId="7" xfId="0" applyBorder="1"/>
    <xf numFmtId="0" fontId="0" fillId="0" borderId="8" xfId="0" applyBorder="1"/>
    <xf numFmtId="0" fontId="0" fillId="0" borderId="9" xfId="0" applyBorder="1" applyAlignment="1">
      <alignment horizontal="left" vertical="center" wrapText="1"/>
    </xf>
    <xf numFmtId="0" fontId="0" fillId="0" borderId="0" xfId="0" applyBorder="1" applyAlignment="1">
      <alignment horizontal="left" vertical="center" wrapText="1"/>
    </xf>
    <xf numFmtId="0" fontId="0" fillId="0" borderId="10" xfId="0" applyBorder="1" applyAlignment="1">
      <alignment horizontal="left" vertical="center" wrapText="1"/>
    </xf>
    <xf numFmtId="0" fontId="0" fillId="0" borderId="0" xfId="0" applyBorder="1" applyAlignment="1">
      <alignment horizontal="left" vertical="center" wrapText="1"/>
    </xf>
    <xf numFmtId="0" fontId="0" fillId="0" borderId="10" xfId="0" applyBorder="1" applyAlignment="1">
      <alignment horizontal="left" vertical="center" wrapText="1"/>
    </xf>
    <xf numFmtId="0" fontId="0" fillId="0" borderId="11" xfId="0" applyBorder="1" applyAlignment="1">
      <alignment horizontal="left" vertical="center" wrapText="1"/>
    </xf>
    <xf numFmtId="0" fontId="0" fillId="0" borderId="12" xfId="0" applyBorder="1" applyAlignment="1">
      <alignment horizontal="left" vertical="center" wrapText="1"/>
    </xf>
    <xf numFmtId="0" fontId="0" fillId="0" borderId="13" xfId="0" applyBorder="1" applyAlignment="1">
      <alignment horizontal="left" vertical="center" wrapText="1"/>
    </xf>
    <xf numFmtId="0" fontId="0" fillId="0" borderId="7" xfId="0" applyBorder="1" applyAlignment="1">
      <alignment horizontal="left" vertical="center" wrapText="1"/>
    </xf>
    <xf numFmtId="0" fontId="0" fillId="0" borderId="8" xfId="0" applyBorder="1" applyAlignment="1">
      <alignment horizontal="left" vertical="center" wrapText="1"/>
    </xf>
    <xf numFmtId="0" fontId="2" fillId="0" borderId="6" xfId="0" applyFont="1" applyBorder="1"/>
    <xf numFmtId="0" fontId="2" fillId="0" borderId="9" xfId="0" applyFont="1" applyBorder="1"/>
    <xf numFmtId="0" fontId="0" fillId="0" borderId="4" xfId="0" applyBorder="1" applyAlignment="1">
      <alignment horizontal="right" wrapText="1"/>
    </xf>
    <xf numFmtId="0" fontId="0" fillId="0" borderId="14" xfId="0" applyBorder="1" applyAlignment="1">
      <alignment horizontal="center" vertical="center" wrapText="1"/>
    </xf>
    <xf numFmtId="0" fontId="0" fillId="0" borderId="15" xfId="0" applyBorder="1" applyAlignment="1">
      <alignment horizontal="center"/>
    </xf>
    <xf numFmtId="0" fontId="0" fillId="0" borderId="7" xfId="0" applyBorder="1" applyAlignment="1">
      <alignment horizontal="center"/>
    </xf>
    <xf numFmtId="0" fontId="0" fillId="0" borderId="16" xfId="0" applyBorder="1" applyAlignment="1">
      <alignment horizontal="center"/>
    </xf>
    <xf numFmtId="0" fontId="0" fillId="0" borderId="8" xfId="0" applyBorder="1" applyAlignment="1">
      <alignment horizontal="center"/>
    </xf>
    <xf numFmtId="0" fontId="0" fillId="0" borderId="17" xfId="0" applyBorder="1" applyAlignment="1">
      <alignment horizontal="center" vertical="center" wrapText="1"/>
    </xf>
    <xf numFmtId="0" fontId="0" fillId="0" borderId="18" xfId="0" applyBorder="1" applyAlignment="1">
      <alignment horizontal="right" wrapText="1"/>
    </xf>
    <xf numFmtId="0" fontId="0" fillId="0" borderId="19" xfId="0" applyBorder="1" applyAlignment="1">
      <alignment wrapText="1"/>
    </xf>
    <xf numFmtId="164" fontId="0" fillId="0" borderId="0" xfId="0" applyNumberFormat="1" applyBorder="1"/>
    <xf numFmtId="164" fontId="0" fillId="0" borderId="10" xfId="0" applyNumberFormat="1" applyBorder="1"/>
    <xf numFmtId="0" fontId="0" fillId="0" borderId="20" xfId="0" applyBorder="1" applyAlignment="1">
      <alignment wrapText="1"/>
    </xf>
    <xf numFmtId="164" fontId="0" fillId="0" borderId="21" xfId="0" applyNumberFormat="1" applyBorder="1"/>
    <xf numFmtId="164" fontId="0" fillId="0" borderId="12" xfId="0" applyNumberFormat="1" applyBorder="1"/>
    <xf numFmtId="164" fontId="0" fillId="0" borderId="13" xfId="0" applyNumberFormat="1" applyBorder="1"/>
    <xf numFmtId="0" fontId="0" fillId="0" borderId="7" xfId="0" applyBorder="1" applyAlignment="1">
      <alignment vertical="center"/>
    </xf>
    <xf numFmtId="0" fontId="2" fillId="0" borderId="6" xfId="0" applyFont="1" applyBorder="1" applyAlignment="1"/>
  </cellXfs>
  <cellStyles count="3">
    <cellStyle name="20% - Accent6" xfId="2" builtinId="50"/>
    <cellStyle name="Accent6" xfId="1" builtinId="49"/>
    <cellStyle name="Normal" xfId="0" builtinId="0"/>
  </cellStyles>
  <dxfs count="1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ACD7684-4C94-4E14-991F-F3BDBA4A29B1}" autoFormatId="16" applyNumberFormats="0" applyBorderFormats="0" applyFontFormats="0" applyPatternFormats="0" applyAlignmentFormats="0" applyWidthHeightFormats="0">
  <queryTableRefresh nextId="8">
    <queryTableFields count="7">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CD40D547-CBF4-426D-99F2-A1AFFFDF7698}" autoFormatId="16" applyNumberFormats="0" applyBorderFormats="0" applyFontFormats="0" applyPatternFormats="0" applyAlignmentFormats="0" applyWidthHeightFormats="0">
  <queryTableRefresh nextId="4">
    <queryTableFields count="3">
      <queryTableField id="1" name="Column1" tableColumnId="1"/>
      <queryTableField id="2" name="Column2" tableColumnId="2"/>
      <queryTableField id="3" name="Column3" tableColumnId="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6D9D9AB-5169-4C89-9723-90CFBAF02B64}" name="results_1" displayName="results_1" ref="A1:G62" tableType="queryTable" totalsRowShown="0">
  <autoFilter ref="A1:G62" xr:uid="{56D9D9AB-5169-4C89-9723-90CFBAF02B64}"/>
  <sortState xmlns:xlrd2="http://schemas.microsoft.com/office/spreadsheetml/2017/richdata2" ref="A2:G62">
    <sortCondition ref="A1:A62"/>
  </sortState>
  <tableColumns count="7">
    <tableColumn id="1" xr3:uid="{721F8FDC-184F-469F-82EE-882120634873}" uniqueName="1" name="metric" queryTableFieldId="1" dataDxfId="9"/>
    <tableColumn id="2" xr3:uid="{E233B1C0-3CAD-43F8-9646-4118D28CCD67}" uniqueName="2" name="solution" queryTableFieldId="2" dataDxfId="8"/>
    <tableColumn id="3" xr3:uid="{A87672EA-0C4C-4502-BA84-282AF45087C0}" uniqueName="3" name="0,5" queryTableFieldId="3" dataDxfId="7"/>
    <tableColumn id="4" xr3:uid="{1113C9BF-56D6-492E-9266-64716CD2D7BB}" uniqueName="4" name="0,4" queryTableFieldId="4" dataDxfId="6"/>
    <tableColumn id="5" xr3:uid="{A09C3E40-C462-4FEE-B011-D8A2DA09DBD0}" uniqueName="5" name="0,3" queryTableFieldId="5" dataDxfId="5"/>
    <tableColumn id="6" xr3:uid="{77FA5D86-0125-4C8C-867F-15FE4A5CB431}" uniqueName="6" name="0,2" queryTableFieldId="6" dataDxfId="4"/>
    <tableColumn id="7" xr3:uid="{B2FAE019-16D8-4A81-9359-3B7E6E1C4007}" uniqueName="7" name="0,1" queryTableFieldId="7" dataDxfId="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BB0F660-0AEF-4203-B85B-DC73B88F6FF6}" name="results_optimized" displayName="results_optimized" ref="A1:C61" tableType="queryTable" totalsRowShown="0">
  <autoFilter ref="A1:C61" xr:uid="{9BB0F660-0AEF-4203-B85B-DC73B88F6FF6}"/>
  <sortState xmlns:xlrd2="http://schemas.microsoft.com/office/spreadsheetml/2017/richdata2" ref="A2:C61">
    <sortCondition ref="A1:A61"/>
  </sortState>
  <tableColumns count="3">
    <tableColumn id="1" xr3:uid="{2FC4DFA1-2993-4878-B7E8-732E293B0D00}" uniqueName="1" name="metric" queryTableFieldId="1" dataDxfId="2"/>
    <tableColumn id="2" xr3:uid="{A9E3F1CB-458B-4F12-A84C-8970298B906F}" uniqueName="2" name="solution" queryTableFieldId="2" dataDxfId="1"/>
    <tableColumn id="3" xr3:uid="{741E4CE7-74C6-4EF3-8734-A7159A485F08}" uniqueName="3" name="value" queryTableFieldId="3"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BC204-FA19-4ADB-ABE7-6210873D7748}">
  <dimension ref="A1:G62"/>
  <sheetViews>
    <sheetView workbookViewId="0">
      <selection activeCell="D16" sqref="D16"/>
    </sheetView>
  </sheetViews>
  <sheetFormatPr defaultRowHeight="15" x14ac:dyDescent="0.25"/>
  <cols>
    <col min="1" max="1" width="14.140625" bestFit="1" customWidth="1"/>
    <col min="2" max="2" width="47.42578125" bestFit="1" customWidth="1"/>
    <col min="3" max="7" width="11.42578125" bestFit="1" customWidth="1"/>
  </cols>
  <sheetData>
    <row r="1" spans="1:7" x14ac:dyDescent="0.25">
      <c r="A1" t="s">
        <v>454</v>
      </c>
      <c r="B1" t="s">
        <v>453</v>
      </c>
      <c r="C1" t="s">
        <v>447</v>
      </c>
      <c r="D1" t="s">
        <v>448</v>
      </c>
      <c r="E1" t="s">
        <v>449</v>
      </c>
      <c r="F1" t="s">
        <v>450</v>
      </c>
      <c r="G1" t="s">
        <v>451</v>
      </c>
    </row>
    <row r="2" spans="1:7" x14ac:dyDescent="0.25">
      <c r="A2" t="s">
        <v>308</v>
      </c>
      <c r="B2" t="s">
        <v>308</v>
      </c>
      <c r="C2" t="s">
        <v>308</v>
      </c>
      <c r="D2" t="s">
        <v>308</v>
      </c>
      <c r="E2" t="s">
        <v>308</v>
      </c>
      <c r="F2" t="s">
        <v>308</v>
      </c>
      <c r="G2" t="s">
        <v>308</v>
      </c>
    </row>
    <row r="3" spans="1:7" x14ac:dyDescent="0.25">
      <c r="A3" t="s">
        <v>7</v>
      </c>
      <c r="B3" t="s">
        <v>1</v>
      </c>
      <c r="C3" t="s">
        <v>8</v>
      </c>
      <c r="D3" t="s">
        <v>9</v>
      </c>
      <c r="E3" t="s">
        <v>10</v>
      </c>
      <c r="F3" t="s">
        <v>11</v>
      </c>
      <c r="G3" t="s">
        <v>12</v>
      </c>
    </row>
    <row r="4" spans="1:7" x14ac:dyDescent="0.25">
      <c r="A4" t="s">
        <v>7</v>
      </c>
      <c r="B4" t="s">
        <v>31</v>
      </c>
      <c r="C4" t="s">
        <v>37</v>
      </c>
      <c r="D4" t="s">
        <v>38</v>
      </c>
      <c r="E4" t="s">
        <v>39</v>
      </c>
      <c r="F4" t="s">
        <v>40</v>
      </c>
      <c r="G4" t="s">
        <v>41</v>
      </c>
    </row>
    <row r="5" spans="1:7" x14ac:dyDescent="0.25">
      <c r="A5" t="s">
        <v>7</v>
      </c>
      <c r="B5" t="s">
        <v>57</v>
      </c>
      <c r="C5" t="s">
        <v>63</v>
      </c>
      <c r="D5" t="s">
        <v>64</v>
      </c>
      <c r="E5" t="s">
        <v>65</v>
      </c>
      <c r="F5" t="s">
        <v>66</v>
      </c>
      <c r="G5" t="s">
        <v>67</v>
      </c>
    </row>
    <row r="6" spans="1:7" x14ac:dyDescent="0.25">
      <c r="A6" t="s">
        <v>7</v>
      </c>
      <c r="B6" t="s">
        <v>83</v>
      </c>
      <c r="C6" t="s">
        <v>89</v>
      </c>
      <c r="D6" t="s">
        <v>90</v>
      </c>
      <c r="E6" t="s">
        <v>5</v>
      </c>
      <c r="F6" t="s">
        <v>91</v>
      </c>
      <c r="G6" t="s">
        <v>12</v>
      </c>
    </row>
    <row r="7" spans="1:7" x14ac:dyDescent="0.25">
      <c r="A7" t="s">
        <v>7</v>
      </c>
      <c r="B7" t="s">
        <v>106</v>
      </c>
      <c r="C7" t="s">
        <v>112</v>
      </c>
      <c r="D7" t="s">
        <v>113</v>
      </c>
      <c r="E7" t="s">
        <v>114</v>
      </c>
      <c r="F7" t="s">
        <v>115</v>
      </c>
      <c r="G7" t="s">
        <v>116</v>
      </c>
    </row>
    <row r="8" spans="1:7" x14ac:dyDescent="0.25">
      <c r="A8" t="s">
        <v>7</v>
      </c>
      <c r="B8" t="s">
        <v>131</v>
      </c>
      <c r="C8" t="s">
        <v>137</v>
      </c>
      <c r="D8" t="s">
        <v>138</v>
      </c>
      <c r="E8" t="s">
        <v>139</v>
      </c>
      <c r="F8" t="s">
        <v>140</v>
      </c>
      <c r="G8" t="s">
        <v>141</v>
      </c>
    </row>
    <row r="9" spans="1:7" x14ac:dyDescent="0.25">
      <c r="A9" t="s">
        <v>7</v>
      </c>
      <c r="B9" t="s">
        <v>157</v>
      </c>
      <c r="C9" t="s">
        <v>6</v>
      </c>
      <c r="D9" t="s">
        <v>163</v>
      </c>
      <c r="E9" t="s">
        <v>164</v>
      </c>
      <c r="F9" t="s">
        <v>165</v>
      </c>
      <c r="G9" t="s">
        <v>166</v>
      </c>
    </row>
    <row r="10" spans="1:7" x14ac:dyDescent="0.25">
      <c r="A10" t="s">
        <v>7</v>
      </c>
      <c r="B10" t="s">
        <v>182</v>
      </c>
      <c r="C10" t="s">
        <v>188</v>
      </c>
      <c r="D10" t="s">
        <v>189</v>
      </c>
      <c r="E10" t="s">
        <v>187</v>
      </c>
      <c r="F10" t="s">
        <v>190</v>
      </c>
      <c r="G10" t="s">
        <v>191</v>
      </c>
    </row>
    <row r="11" spans="1:7" x14ac:dyDescent="0.25">
      <c r="A11" t="s">
        <v>7</v>
      </c>
      <c r="B11" t="s">
        <v>206</v>
      </c>
      <c r="C11" t="s">
        <v>212</v>
      </c>
      <c r="D11" t="s">
        <v>9</v>
      </c>
      <c r="E11" t="s">
        <v>213</v>
      </c>
      <c r="F11" t="s">
        <v>214</v>
      </c>
      <c r="G11" t="s">
        <v>215</v>
      </c>
    </row>
    <row r="12" spans="1:7" x14ac:dyDescent="0.25">
      <c r="A12" t="s">
        <v>7</v>
      </c>
      <c r="B12" t="s">
        <v>231</v>
      </c>
      <c r="C12" t="s">
        <v>237</v>
      </c>
      <c r="D12" t="s">
        <v>238</v>
      </c>
      <c r="E12" t="s">
        <v>239</v>
      </c>
      <c r="F12" t="s">
        <v>240</v>
      </c>
      <c r="G12" t="s">
        <v>166</v>
      </c>
    </row>
    <row r="13" spans="1:7" x14ac:dyDescent="0.25">
      <c r="A13" t="s">
        <v>7</v>
      </c>
      <c r="B13" t="s">
        <v>256</v>
      </c>
      <c r="C13" t="s">
        <v>262</v>
      </c>
      <c r="D13" t="s">
        <v>263</v>
      </c>
      <c r="E13" t="s">
        <v>264</v>
      </c>
      <c r="F13" t="s">
        <v>265</v>
      </c>
      <c r="G13" t="s">
        <v>266</v>
      </c>
    </row>
    <row r="14" spans="1:7" x14ac:dyDescent="0.25">
      <c r="A14" t="s">
        <v>7</v>
      </c>
      <c r="B14" t="s">
        <v>282</v>
      </c>
      <c r="C14" t="s">
        <v>288</v>
      </c>
      <c r="D14" t="s">
        <v>289</v>
      </c>
      <c r="E14" t="s">
        <v>290</v>
      </c>
      <c r="F14" t="s">
        <v>291</v>
      </c>
      <c r="G14" t="s">
        <v>292</v>
      </c>
    </row>
    <row r="15" spans="1:7" x14ac:dyDescent="0.25">
      <c r="A15" t="s">
        <v>25</v>
      </c>
      <c r="B15" t="s">
        <v>1</v>
      </c>
      <c r="C15" t="s">
        <v>26</v>
      </c>
      <c r="D15" t="s">
        <v>27</v>
      </c>
      <c r="E15" t="s">
        <v>28</v>
      </c>
      <c r="F15" t="s">
        <v>29</v>
      </c>
      <c r="G15" t="s">
        <v>30</v>
      </c>
    </row>
    <row r="16" spans="1:7" x14ac:dyDescent="0.25">
      <c r="A16" t="s">
        <v>25</v>
      </c>
      <c r="B16" t="s">
        <v>31</v>
      </c>
      <c r="C16" t="s">
        <v>52</v>
      </c>
      <c r="D16" t="s">
        <v>53</v>
      </c>
      <c r="E16" t="s">
        <v>54</v>
      </c>
      <c r="F16" t="s">
        <v>55</v>
      </c>
      <c r="G16" t="s">
        <v>56</v>
      </c>
    </row>
    <row r="17" spans="1:7" x14ac:dyDescent="0.25">
      <c r="A17" t="s">
        <v>25</v>
      </c>
      <c r="B17" t="s">
        <v>57</v>
      </c>
      <c r="C17" t="s">
        <v>78</v>
      </c>
      <c r="D17" t="s">
        <v>79</v>
      </c>
      <c r="E17" t="s">
        <v>80</v>
      </c>
      <c r="F17" t="s">
        <v>81</v>
      </c>
      <c r="G17" t="s">
        <v>82</v>
      </c>
    </row>
    <row r="18" spans="1:7" x14ac:dyDescent="0.25">
      <c r="A18" t="s">
        <v>25</v>
      </c>
      <c r="B18" t="s">
        <v>83</v>
      </c>
      <c r="C18" t="s">
        <v>101</v>
      </c>
      <c r="D18" t="s">
        <v>102</v>
      </c>
      <c r="E18" t="s">
        <v>103</v>
      </c>
      <c r="F18" t="s">
        <v>104</v>
      </c>
      <c r="G18" t="s">
        <v>105</v>
      </c>
    </row>
    <row r="19" spans="1:7" x14ac:dyDescent="0.25">
      <c r="A19" t="s">
        <v>25</v>
      </c>
      <c r="B19" t="s">
        <v>106</v>
      </c>
      <c r="C19" t="s">
        <v>126</v>
      </c>
      <c r="D19" t="s">
        <v>127</v>
      </c>
      <c r="E19" t="s">
        <v>128</v>
      </c>
      <c r="F19" t="s">
        <v>129</v>
      </c>
      <c r="G19" t="s">
        <v>130</v>
      </c>
    </row>
    <row r="20" spans="1:7" x14ac:dyDescent="0.25">
      <c r="A20" t="s">
        <v>25</v>
      </c>
      <c r="B20" t="s">
        <v>131</v>
      </c>
      <c r="C20" t="s">
        <v>152</v>
      </c>
      <c r="D20" t="s">
        <v>153</v>
      </c>
      <c r="E20" t="s">
        <v>154</v>
      </c>
      <c r="F20" t="s">
        <v>155</v>
      </c>
      <c r="G20" t="s">
        <v>156</v>
      </c>
    </row>
    <row r="21" spans="1:7" x14ac:dyDescent="0.25">
      <c r="A21" t="s">
        <v>25</v>
      </c>
      <c r="B21" t="s">
        <v>157</v>
      </c>
      <c r="C21" t="s">
        <v>177</v>
      </c>
      <c r="D21" t="s">
        <v>178</v>
      </c>
      <c r="E21" t="s">
        <v>179</v>
      </c>
      <c r="F21" t="s">
        <v>180</v>
      </c>
      <c r="G21" t="s">
        <v>181</v>
      </c>
    </row>
    <row r="22" spans="1:7" x14ac:dyDescent="0.25">
      <c r="A22" t="s">
        <v>25</v>
      </c>
      <c r="B22" t="s">
        <v>182</v>
      </c>
      <c r="C22" t="s">
        <v>202</v>
      </c>
      <c r="D22" t="s">
        <v>203</v>
      </c>
      <c r="E22" t="s">
        <v>204</v>
      </c>
      <c r="F22" t="s">
        <v>178</v>
      </c>
      <c r="G22" t="s">
        <v>205</v>
      </c>
    </row>
    <row r="23" spans="1:7" x14ac:dyDescent="0.25">
      <c r="A23" t="s">
        <v>25</v>
      </c>
      <c r="B23" t="s">
        <v>206</v>
      </c>
      <c r="C23" t="s">
        <v>226</v>
      </c>
      <c r="D23" t="s">
        <v>227</v>
      </c>
      <c r="E23" t="s">
        <v>228</v>
      </c>
      <c r="F23" t="s">
        <v>229</v>
      </c>
      <c r="G23" t="s">
        <v>230</v>
      </c>
    </row>
    <row r="24" spans="1:7" x14ac:dyDescent="0.25">
      <c r="A24" t="s">
        <v>25</v>
      </c>
      <c r="B24" t="s">
        <v>231</v>
      </c>
      <c r="C24" t="s">
        <v>251</v>
      </c>
      <c r="D24" t="s">
        <v>252</v>
      </c>
      <c r="E24" t="s">
        <v>253</v>
      </c>
      <c r="F24" t="s">
        <v>254</v>
      </c>
      <c r="G24" t="s">
        <v>255</v>
      </c>
    </row>
    <row r="25" spans="1:7" x14ac:dyDescent="0.25">
      <c r="A25" t="s">
        <v>25</v>
      </c>
      <c r="B25" t="s">
        <v>256</v>
      </c>
      <c r="C25" t="s">
        <v>277</v>
      </c>
      <c r="D25" t="s">
        <v>278</v>
      </c>
      <c r="E25" t="s">
        <v>279</v>
      </c>
      <c r="F25" t="s">
        <v>280</v>
      </c>
      <c r="G25" t="s">
        <v>281</v>
      </c>
    </row>
    <row r="26" spans="1:7" x14ac:dyDescent="0.25">
      <c r="A26" t="s">
        <v>25</v>
      </c>
      <c r="B26" t="s">
        <v>282</v>
      </c>
      <c r="C26" t="s">
        <v>303</v>
      </c>
      <c r="D26" t="s">
        <v>304</v>
      </c>
      <c r="E26" t="s">
        <v>305</v>
      </c>
      <c r="F26" t="s">
        <v>306</v>
      </c>
      <c r="G26" t="s">
        <v>307</v>
      </c>
    </row>
    <row r="27" spans="1:7" x14ac:dyDescent="0.25">
      <c r="A27" t="s">
        <v>0</v>
      </c>
      <c r="B27" t="s">
        <v>1</v>
      </c>
      <c r="C27" t="s">
        <v>2</v>
      </c>
      <c r="D27" t="s">
        <v>3</v>
      </c>
      <c r="E27" t="s">
        <v>4</v>
      </c>
      <c r="F27" t="s">
        <v>5</v>
      </c>
      <c r="G27" t="s">
        <v>6</v>
      </c>
    </row>
    <row r="28" spans="1:7" x14ac:dyDescent="0.25">
      <c r="A28" t="s">
        <v>0</v>
      </c>
      <c r="B28" t="s">
        <v>31</v>
      </c>
      <c r="C28" t="s">
        <v>32</v>
      </c>
      <c r="D28" t="s">
        <v>33</v>
      </c>
      <c r="E28" t="s">
        <v>34</v>
      </c>
      <c r="F28" t="s">
        <v>35</v>
      </c>
      <c r="G28" t="s">
        <v>36</v>
      </c>
    </row>
    <row r="29" spans="1:7" x14ac:dyDescent="0.25">
      <c r="A29" t="s">
        <v>0</v>
      </c>
      <c r="B29" t="s">
        <v>57</v>
      </c>
      <c r="C29" t="s">
        <v>58</v>
      </c>
      <c r="D29" t="s">
        <v>59</v>
      </c>
      <c r="E29" t="s">
        <v>60</v>
      </c>
      <c r="F29" t="s">
        <v>61</v>
      </c>
      <c r="G29" t="s">
        <v>62</v>
      </c>
    </row>
    <row r="30" spans="1:7" x14ac:dyDescent="0.25">
      <c r="A30" t="s">
        <v>0</v>
      </c>
      <c r="B30" t="s">
        <v>83</v>
      </c>
      <c r="C30" t="s">
        <v>84</v>
      </c>
      <c r="D30" t="s">
        <v>85</v>
      </c>
      <c r="E30" t="s">
        <v>86</v>
      </c>
      <c r="F30" t="s">
        <v>87</v>
      </c>
      <c r="G30" t="s">
        <v>88</v>
      </c>
    </row>
    <row r="31" spans="1:7" x14ac:dyDescent="0.25">
      <c r="A31" t="s">
        <v>0</v>
      </c>
      <c r="B31" t="s">
        <v>106</v>
      </c>
      <c r="C31" t="s">
        <v>107</v>
      </c>
      <c r="D31" t="s">
        <v>108</v>
      </c>
      <c r="E31" t="s">
        <v>109</v>
      </c>
      <c r="F31" t="s">
        <v>110</v>
      </c>
      <c r="G31" t="s">
        <v>111</v>
      </c>
    </row>
    <row r="32" spans="1:7" x14ac:dyDescent="0.25">
      <c r="A32" t="s">
        <v>0</v>
      </c>
      <c r="B32" t="s">
        <v>131</v>
      </c>
      <c r="C32" t="s">
        <v>132</v>
      </c>
      <c r="D32" t="s">
        <v>133</v>
      </c>
      <c r="E32" t="s">
        <v>134</v>
      </c>
      <c r="F32" t="s">
        <v>135</v>
      </c>
      <c r="G32" t="s">
        <v>136</v>
      </c>
    </row>
    <row r="33" spans="1:7" x14ac:dyDescent="0.25">
      <c r="A33" t="s">
        <v>0</v>
      </c>
      <c r="B33" t="s">
        <v>157</v>
      </c>
      <c r="C33" t="s">
        <v>158</v>
      </c>
      <c r="D33" t="s">
        <v>159</v>
      </c>
      <c r="E33" t="s">
        <v>160</v>
      </c>
      <c r="F33" t="s">
        <v>161</v>
      </c>
      <c r="G33" t="s">
        <v>162</v>
      </c>
    </row>
    <row r="34" spans="1:7" x14ac:dyDescent="0.25">
      <c r="A34" t="s">
        <v>0</v>
      </c>
      <c r="B34" t="s">
        <v>182</v>
      </c>
      <c r="C34" t="s">
        <v>183</v>
      </c>
      <c r="D34" t="s">
        <v>184</v>
      </c>
      <c r="E34" t="s">
        <v>185</v>
      </c>
      <c r="F34" t="s">
        <v>186</v>
      </c>
      <c r="G34" t="s">
        <v>187</v>
      </c>
    </row>
    <row r="35" spans="1:7" x14ac:dyDescent="0.25">
      <c r="A35" t="s">
        <v>0</v>
      </c>
      <c r="B35" t="s">
        <v>206</v>
      </c>
      <c r="C35" t="s">
        <v>207</v>
      </c>
      <c r="D35" t="s">
        <v>208</v>
      </c>
      <c r="E35" t="s">
        <v>209</v>
      </c>
      <c r="F35" t="s">
        <v>210</v>
      </c>
      <c r="G35" t="s">
        <v>211</v>
      </c>
    </row>
    <row r="36" spans="1:7" x14ac:dyDescent="0.25">
      <c r="A36" t="s">
        <v>0</v>
      </c>
      <c r="B36" t="s">
        <v>231</v>
      </c>
      <c r="C36" t="s">
        <v>232</v>
      </c>
      <c r="D36" t="s">
        <v>233</v>
      </c>
      <c r="E36" t="s">
        <v>234</v>
      </c>
      <c r="F36" t="s">
        <v>235</v>
      </c>
      <c r="G36" t="s">
        <v>236</v>
      </c>
    </row>
    <row r="37" spans="1:7" x14ac:dyDescent="0.25">
      <c r="A37" t="s">
        <v>0</v>
      </c>
      <c r="B37" t="s">
        <v>256</v>
      </c>
      <c r="C37" t="s">
        <v>257</v>
      </c>
      <c r="D37" t="s">
        <v>258</v>
      </c>
      <c r="E37" t="s">
        <v>259</v>
      </c>
      <c r="F37" t="s">
        <v>260</v>
      </c>
      <c r="G37" t="s">
        <v>261</v>
      </c>
    </row>
    <row r="38" spans="1:7" x14ac:dyDescent="0.25">
      <c r="A38" t="s">
        <v>0</v>
      </c>
      <c r="B38" t="s">
        <v>282</v>
      </c>
      <c r="C38" t="s">
        <v>283</v>
      </c>
      <c r="D38" t="s">
        <v>284</v>
      </c>
      <c r="E38" t="s">
        <v>285</v>
      </c>
      <c r="F38" t="s">
        <v>286</v>
      </c>
      <c r="G38" t="s">
        <v>287</v>
      </c>
    </row>
    <row r="39" spans="1:7" x14ac:dyDescent="0.25">
      <c r="A39" t="s">
        <v>13</v>
      </c>
      <c r="B39" t="s">
        <v>1</v>
      </c>
      <c r="C39" t="s">
        <v>14</v>
      </c>
      <c r="D39" t="s">
        <v>15</v>
      </c>
      <c r="E39" t="s">
        <v>16</v>
      </c>
      <c r="F39" t="s">
        <v>17</v>
      </c>
      <c r="G39" t="s">
        <v>18</v>
      </c>
    </row>
    <row r="40" spans="1:7" x14ac:dyDescent="0.25">
      <c r="A40" t="s">
        <v>13</v>
      </c>
      <c r="B40" t="s">
        <v>31</v>
      </c>
      <c r="C40" t="s">
        <v>42</v>
      </c>
      <c r="D40" t="s">
        <v>43</v>
      </c>
      <c r="E40" t="s">
        <v>44</v>
      </c>
      <c r="F40" t="s">
        <v>45</v>
      </c>
      <c r="G40" t="s">
        <v>46</v>
      </c>
    </row>
    <row r="41" spans="1:7" x14ac:dyDescent="0.25">
      <c r="A41" t="s">
        <v>13</v>
      </c>
      <c r="B41" t="s">
        <v>57</v>
      </c>
      <c r="C41" t="s">
        <v>68</v>
      </c>
      <c r="D41" t="s">
        <v>69</v>
      </c>
      <c r="E41" t="s">
        <v>70</v>
      </c>
      <c r="F41" t="s">
        <v>71</v>
      </c>
      <c r="G41" t="s">
        <v>72</v>
      </c>
    </row>
    <row r="42" spans="1:7" x14ac:dyDescent="0.25">
      <c r="A42" t="s">
        <v>13</v>
      </c>
      <c r="B42" t="s">
        <v>83</v>
      </c>
      <c r="C42" t="s">
        <v>92</v>
      </c>
      <c r="D42" t="s">
        <v>93</v>
      </c>
      <c r="E42" t="s">
        <v>94</v>
      </c>
      <c r="F42" t="s">
        <v>95</v>
      </c>
      <c r="G42" t="s">
        <v>96</v>
      </c>
    </row>
    <row r="43" spans="1:7" x14ac:dyDescent="0.25">
      <c r="A43" t="s">
        <v>13</v>
      </c>
      <c r="B43" t="s">
        <v>106</v>
      </c>
      <c r="C43" t="s">
        <v>117</v>
      </c>
      <c r="D43" t="s">
        <v>118</v>
      </c>
      <c r="E43" t="s">
        <v>119</v>
      </c>
      <c r="F43" t="s">
        <v>21</v>
      </c>
      <c r="G43" t="s">
        <v>120</v>
      </c>
    </row>
    <row r="44" spans="1:7" x14ac:dyDescent="0.25">
      <c r="A44" t="s">
        <v>13</v>
      </c>
      <c r="B44" t="s">
        <v>131</v>
      </c>
      <c r="C44" t="s">
        <v>142</v>
      </c>
      <c r="D44" t="s">
        <v>143</v>
      </c>
      <c r="E44" t="s">
        <v>144</v>
      </c>
      <c r="F44" t="s">
        <v>145</v>
      </c>
      <c r="G44" t="s">
        <v>146</v>
      </c>
    </row>
    <row r="45" spans="1:7" x14ac:dyDescent="0.25">
      <c r="A45" t="s">
        <v>13</v>
      </c>
      <c r="B45" t="s">
        <v>157</v>
      </c>
      <c r="C45" t="s">
        <v>167</v>
      </c>
      <c r="D45" t="s">
        <v>168</v>
      </c>
      <c r="E45" t="s">
        <v>169</v>
      </c>
      <c r="F45" t="s">
        <v>170</v>
      </c>
      <c r="G45" t="s">
        <v>171</v>
      </c>
    </row>
    <row r="46" spans="1:7" x14ac:dyDescent="0.25">
      <c r="A46" t="s">
        <v>13</v>
      </c>
      <c r="B46" t="s">
        <v>182</v>
      </c>
      <c r="C46" t="s">
        <v>192</v>
      </c>
      <c r="D46" t="s">
        <v>193</v>
      </c>
      <c r="E46" t="s">
        <v>194</v>
      </c>
      <c r="F46" t="s">
        <v>195</v>
      </c>
      <c r="G46" t="s">
        <v>196</v>
      </c>
    </row>
    <row r="47" spans="1:7" x14ac:dyDescent="0.25">
      <c r="A47" t="s">
        <v>13</v>
      </c>
      <c r="B47" t="s">
        <v>206</v>
      </c>
      <c r="C47" t="s">
        <v>216</v>
      </c>
      <c r="D47" t="s">
        <v>217</v>
      </c>
      <c r="E47" t="s">
        <v>218</v>
      </c>
      <c r="F47" t="s">
        <v>219</v>
      </c>
      <c r="G47" t="s">
        <v>220</v>
      </c>
    </row>
    <row r="48" spans="1:7" x14ac:dyDescent="0.25">
      <c r="A48" t="s">
        <v>13</v>
      </c>
      <c r="B48" t="s">
        <v>231</v>
      </c>
      <c r="C48" t="s">
        <v>241</v>
      </c>
      <c r="D48" t="s">
        <v>242</v>
      </c>
      <c r="E48" t="s">
        <v>243</v>
      </c>
      <c r="F48" t="s">
        <v>244</v>
      </c>
      <c r="G48" t="s">
        <v>245</v>
      </c>
    </row>
    <row r="49" spans="1:7" x14ac:dyDescent="0.25">
      <c r="A49" t="s">
        <v>13</v>
      </c>
      <c r="B49" t="s">
        <v>256</v>
      </c>
      <c r="C49" t="s">
        <v>267</v>
      </c>
      <c r="D49" t="s">
        <v>268</v>
      </c>
      <c r="E49" t="s">
        <v>269</v>
      </c>
      <c r="F49" t="s">
        <v>270</v>
      </c>
      <c r="G49" t="s">
        <v>271</v>
      </c>
    </row>
    <row r="50" spans="1:7" x14ac:dyDescent="0.25">
      <c r="A50" t="s">
        <v>13</v>
      </c>
      <c r="B50" t="s">
        <v>282</v>
      </c>
      <c r="C50" t="s">
        <v>293</v>
      </c>
      <c r="D50" t="s">
        <v>294</v>
      </c>
      <c r="E50" t="s">
        <v>295</v>
      </c>
      <c r="F50" t="s">
        <v>296</v>
      </c>
      <c r="G50" t="s">
        <v>297</v>
      </c>
    </row>
    <row r="51" spans="1:7" x14ac:dyDescent="0.25">
      <c r="A51" t="s">
        <v>19</v>
      </c>
      <c r="B51" t="s">
        <v>1</v>
      </c>
      <c r="C51" t="s">
        <v>20</v>
      </c>
      <c r="D51" t="s">
        <v>21</v>
      </c>
      <c r="E51" t="s">
        <v>22</v>
      </c>
      <c r="F51" t="s">
        <v>23</v>
      </c>
      <c r="G51" t="s">
        <v>24</v>
      </c>
    </row>
    <row r="52" spans="1:7" x14ac:dyDescent="0.25">
      <c r="A52" t="s">
        <v>19</v>
      </c>
      <c r="B52" t="s">
        <v>31</v>
      </c>
      <c r="C52" t="s">
        <v>47</v>
      </c>
      <c r="D52" t="s">
        <v>48</v>
      </c>
      <c r="E52" t="s">
        <v>49</v>
      </c>
      <c r="F52" t="s">
        <v>50</v>
      </c>
      <c r="G52" t="s">
        <v>51</v>
      </c>
    </row>
    <row r="53" spans="1:7" x14ac:dyDescent="0.25">
      <c r="A53" t="s">
        <v>19</v>
      </c>
      <c r="B53" t="s">
        <v>57</v>
      </c>
      <c r="C53" t="s">
        <v>73</v>
      </c>
      <c r="D53" t="s">
        <v>74</v>
      </c>
      <c r="E53" t="s">
        <v>75</v>
      </c>
      <c r="F53" t="s">
        <v>76</v>
      </c>
      <c r="G53" t="s">
        <v>77</v>
      </c>
    </row>
    <row r="54" spans="1:7" x14ac:dyDescent="0.25">
      <c r="A54" t="s">
        <v>19</v>
      </c>
      <c r="B54" t="s">
        <v>83</v>
      </c>
      <c r="C54" t="s">
        <v>97</v>
      </c>
      <c r="D54" t="s">
        <v>98</v>
      </c>
      <c r="E54" t="s">
        <v>22</v>
      </c>
      <c r="F54" t="s">
        <v>99</v>
      </c>
      <c r="G54" t="s">
        <v>100</v>
      </c>
    </row>
    <row r="55" spans="1:7" x14ac:dyDescent="0.25">
      <c r="A55" t="s">
        <v>19</v>
      </c>
      <c r="B55" t="s">
        <v>106</v>
      </c>
      <c r="C55" t="s">
        <v>121</v>
      </c>
      <c r="D55" t="s">
        <v>122</v>
      </c>
      <c r="E55" t="s">
        <v>123</v>
      </c>
      <c r="F55" t="s">
        <v>124</v>
      </c>
      <c r="G55" t="s">
        <v>125</v>
      </c>
    </row>
    <row r="56" spans="1:7" x14ac:dyDescent="0.25">
      <c r="A56" t="s">
        <v>19</v>
      </c>
      <c r="B56" t="s">
        <v>131</v>
      </c>
      <c r="C56" t="s">
        <v>147</v>
      </c>
      <c r="D56" t="s">
        <v>148</v>
      </c>
      <c r="E56" t="s">
        <v>149</v>
      </c>
      <c r="F56" t="s">
        <v>150</v>
      </c>
      <c r="G56" t="s">
        <v>151</v>
      </c>
    </row>
    <row r="57" spans="1:7" x14ac:dyDescent="0.25">
      <c r="A57" t="s">
        <v>19</v>
      </c>
      <c r="B57" t="s">
        <v>157</v>
      </c>
      <c r="C57" t="s">
        <v>172</v>
      </c>
      <c r="D57" t="s">
        <v>173</v>
      </c>
      <c r="E57" t="s">
        <v>174</v>
      </c>
      <c r="F57" t="s">
        <v>175</v>
      </c>
      <c r="G57" t="s">
        <v>176</v>
      </c>
    </row>
    <row r="58" spans="1:7" x14ac:dyDescent="0.25">
      <c r="A58" t="s">
        <v>19</v>
      </c>
      <c r="B58" t="s">
        <v>182</v>
      </c>
      <c r="C58" t="s">
        <v>197</v>
      </c>
      <c r="D58" t="s">
        <v>198</v>
      </c>
      <c r="E58" t="s">
        <v>199</v>
      </c>
      <c r="F58" t="s">
        <v>200</v>
      </c>
      <c r="G58" t="s">
        <v>201</v>
      </c>
    </row>
    <row r="59" spans="1:7" x14ac:dyDescent="0.25">
      <c r="A59" t="s">
        <v>19</v>
      </c>
      <c r="B59" t="s">
        <v>206</v>
      </c>
      <c r="C59" t="s">
        <v>221</v>
      </c>
      <c r="D59" t="s">
        <v>222</v>
      </c>
      <c r="E59" t="s">
        <v>223</v>
      </c>
      <c r="F59" t="s">
        <v>224</v>
      </c>
      <c r="G59" t="s">
        <v>225</v>
      </c>
    </row>
    <row r="60" spans="1:7" x14ac:dyDescent="0.25">
      <c r="A60" t="s">
        <v>19</v>
      </c>
      <c r="B60" t="s">
        <v>231</v>
      </c>
      <c r="C60" t="s">
        <v>246</v>
      </c>
      <c r="D60" t="s">
        <v>247</v>
      </c>
      <c r="E60" t="s">
        <v>248</v>
      </c>
      <c r="F60" t="s">
        <v>249</v>
      </c>
      <c r="G60" t="s">
        <v>250</v>
      </c>
    </row>
    <row r="61" spans="1:7" x14ac:dyDescent="0.25">
      <c r="A61" t="s">
        <v>19</v>
      </c>
      <c r="B61" t="s">
        <v>256</v>
      </c>
      <c r="C61" t="s">
        <v>272</v>
      </c>
      <c r="D61" t="s">
        <v>273</v>
      </c>
      <c r="E61" t="s">
        <v>274</v>
      </c>
      <c r="F61" t="s">
        <v>275</v>
      </c>
      <c r="G61" t="s">
        <v>276</v>
      </c>
    </row>
    <row r="62" spans="1:7" x14ac:dyDescent="0.25">
      <c r="A62" t="s">
        <v>19</v>
      </c>
      <c r="B62" t="s">
        <v>282</v>
      </c>
      <c r="C62" t="s">
        <v>298</v>
      </c>
      <c r="D62" t="s">
        <v>299</v>
      </c>
      <c r="E62" t="s">
        <v>300</v>
      </c>
      <c r="F62" t="s">
        <v>301</v>
      </c>
      <c r="G62" t="s">
        <v>302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CAD13-6146-4F46-B99D-C8AF450D7AD4}">
  <dimension ref="B2:AF63"/>
  <sheetViews>
    <sheetView tabSelected="1" workbookViewId="0">
      <selection activeCell="AC27" sqref="AC27"/>
    </sheetView>
  </sheetViews>
  <sheetFormatPr defaultRowHeight="15" x14ac:dyDescent="0.25"/>
  <cols>
    <col min="2" max="2" width="46.140625" style="5" customWidth="1"/>
    <col min="3" max="7" width="6.5703125" bestFit="1" customWidth="1"/>
    <col min="8" max="8" width="6.5703125" customWidth="1"/>
    <col min="9" max="13" width="6.5703125" bestFit="1" customWidth="1"/>
    <col min="14" max="14" width="6.5703125" customWidth="1"/>
    <col min="15" max="19" width="6.5703125" bestFit="1" customWidth="1"/>
    <col min="20" max="20" width="6.5703125" customWidth="1"/>
    <col min="21" max="25" width="6.5703125" bestFit="1" customWidth="1"/>
    <col min="26" max="26" width="6.5703125" customWidth="1"/>
    <col min="27" max="32" width="6.5703125" bestFit="1" customWidth="1"/>
  </cols>
  <sheetData>
    <row r="2" spans="2:32" x14ac:dyDescent="0.25">
      <c r="B2" s="29" t="s">
        <v>309</v>
      </c>
      <c r="C2" s="30" t="s">
        <v>0</v>
      </c>
      <c r="D2" s="31"/>
      <c r="E2" s="31"/>
      <c r="F2" s="31"/>
      <c r="G2" s="31"/>
      <c r="H2" s="32"/>
      <c r="I2" s="30" t="s">
        <v>7</v>
      </c>
      <c r="J2" s="31"/>
      <c r="K2" s="31"/>
      <c r="L2" s="31"/>
      <c r="M2" s="31"/>
      <c r="N2" s="32"/>
      <c r="O2" s="30" t="s">
        <v>13</v>
      </c>
      <c r="P2" s="31"/>
      <c r="Q2" s="31"/>
      <c r="R2" s="31"/>
      <c r="S2" s="31"/>
      <c r="T2" s="32"/>
      <c r="U2" s="30" t="s">
        <v>19</v>
      </c>
      <c r="V2" s="31"/>
      <c r="W2" s="31"/>
      <c r="X2" s="31"/>
      <c r="Y2" s="31"/>
      <c r="Z2" s="32"/>
      <c r="AA2" s="30" t="s">
        <v>25</v>
      </c>
      <c r="AB2" s="31"/>
      <c r="AC2" s="31"/>
      <c r="AD2" s="31"/>
      <c r="AE2" s="31"/>
      <c r="AF2" s="33"/>
    </row>
    <row r="3" spans="2:32" ht="30" customHeight="1" x14ac:dyDescent="0.25">
      <c r="B3" s="34"/>
      <c r="C3" s="3">
        <v>0.5</v>
      </c>
      <c r="D3" s="4">
        <v>0.4</v>
      </c>
      <c r="E3" s="4">
        <v>0.3</v>
      </c>
      <c r="F3" s="4">
        <v>0.2</v>
      </c>
      <c r="G3" s="4">
        <v>0.1</v>
      </c>
      <c r="H3" s="28" t="s">
        <v>455</v>
      </c>
      <c r="I3" s="3">
        <v>0.5</v>
      </c>
      <c r="J3" s="4">
        <v>0.4</v>
      </c>
      <c r="K3" s="4">
        <v>0.3</v>
      </c>
      <c r="L3" s="4">
        <v>0.2</v>
      </c>
      <c r="M3" s="4">
        <v>0.1</v>
      </c>
      <c r="N3" s="28" t="str">
        <f>H3</f>
        <v>per label</v>
      </c>
      <c r="O3" s="3">
        <v>0.5</v>
      </c>
      <c r="P3" s="4">
        <v>0.4</v>
      </c>
      <c r="Q3" s="4">
        <v>0.3</v>
      </c>
      <c r="R3" s="4">
        <v>0.2</v>
      </c>
      <c r="S3" s="4">
        <v>0.1</v>
      </c>
      <c r="T3" s="28" t="str">
        <f>H3</f>
        <v>per label</v>
      </c>
      <c r="U3" s="3">
        <v>0.5</v>
      </c>
      <c r="V3" s="4">
        <v>0.4</v>
      </c>
      <c r="W3" s="4">
        <v>0.3</v>
      </c>
      <c r="X3" s="4">
        <v>0.2</v>
      </c>
      <c r="Y3" s="4">
        <v>0.1</v>
      </c>
      <c r="Z3" s="28" t="str">
        <f>H3</f>
        <v>per label</v>
      </c>
      <c r="AA3" s="3">
        <v>0.5</v>
      </c>
      <c r="AB3" s="4">
        <v>0.4</v>
      </c>
      <c r="AC3" s="4">
        <v>0.3</v>
      </c>
      <c r="AD3" s="4">
        <v>0.2</v>
      </c>
      <c r="AE3" s="4">
        <v>0.1</v>
      </c>
      <c r="AF3" s="35" t="str">
        <f>H3</f>
        <v>per label</v>
      </c>
    </row>
    <row r="4" spans="2:32" x14ac:dyDescent="0.25">
      <c r="B4" s="36" t="s">
        <v>1</v>
      </c>
      <c r="C4" s="2">
        <v>4.1099999999999998E-2</v>
      </c>
      <c r="D4" s="37">
        <v>4.2000000000000003E-2</v>
      </c>
      <c r="E4" s="37">
        <v>4.5600000000000002E-2</v>
      </c>
      <c r="F4" s="37">
        <v>5.5599999999999997E-2</v>
      </c>
      <c r="G4" s="37">
        <v>8.8099999999999998E-2</v>
      </c>
      <c r="H4" s="37">
        <v>6.1499999999999999E-2</v>
      </c>
      <c r="I4" s="2">
        <v>8.7599999999999997E-2</v>
      </c>
      <c r="J4" s="37">
        <v>8.3400000000000002E-2</v>
      </c>
      <c r="K4" s="37">
        <v>6.13E-2</v>
      </c>
      <c r="L4" s="37">
        <v>2.63E-2</v>
      </c>
      <c r="M4" s="37">
        <v>1.6000000000000001E-3</v>
      </c>
      <c r="N4" s="37">
        <v>3.3599999999999998E-2</v>
      </c>
      <c r="O4" s="2">
        <v>0.74060000000000004</v>
      </c>
      <c r="P4" s="37">
        <v>0.67930000000000001</v>
      </c>
      <c r="Q4" s="37">
        <v>0.60899999999999999</v>
      </c>
      <c r="R4" s="37">
        <v>0.5181</v>
      </c>
      <c r="S4" s="37">
        <v>0.38179999999999997</v>
      </c>
      <c r="T4" s="37">
        <v>0.48120000000000002</v>
      </c>
      <c r="U4" s="2">
        <v>0.45669999999999999</v>
      </c>
      <c r="V4" s="37">
        <v>0.53349999999999997</v>
      </c>
      <c r="W4" s="37">
        <v>0.61419999999999997</v>
      </c>
      <c r="X4" s="37">
        <v>0.7046</v>
      </c>
      <c r="Y4" s="37">
        <v>0.82089999999999996</v>
      </c>
      <c r="Z4" s="37">
        <v>0.67320000000000002</v>
      </c>
      <c r="AA4" s="2">
        <v>0.56499999999999995</v>
      </c>
      <c r="AB4" s="37">
        <v>0.59760000000000002</v>
      </c>
      <c r="AC4" s="37">
        <v>0.61160000000000003</v>
      </c>
      <c r="AD4" s="37">
        <v>0.59719999999999995</v>
      </c>
      <c r="AE4" s="37">
        <v>0.5212</v>
      </c>
      <c r="AF4" s="38">
        <v>0.56130000000000002</v>
      </c>
    </row>
    <row r="5" spans="2:32" x14ac:dyDescent="0.25">
      <c r="B5" s="36" t="s">
        <v>31</v>
      </c>
      <c r="C5" s="2">
        <v>4.0399999999999998E-2</v>
      </c>
      <c r="D5" s="37">
        <v>4.1300000000000003E-2</v>
      </c>
      <c r="E5" s="37">
        <v>4.4699999999999997E-2</v>
      </c>
      <c r="F5" s="37">
        <v>5.3999999999999999E-2</v>
      </c>
      <c r="G5" s="37">
        <v>8.5300000000000001E-2</v>
      </c>
      <c r="H5" s="37">
        <v>5.0099999999999999E-2</v>
      </c>
      <c r="I5" s="2">
        <v>9.4600000000000004E-2</v>
      </c>
      <c r="J5" s="37">
        <v>8.7300000000000003E-2</v>
      </c>
      <c r="K5" s="37">
        <v>6.6299999999999998E-2</v>
      </c>
      <c r="L5" s="37">
        <v>3.1199999999999999E-2</v>
      </c>
      <c r="M5" s="37">
        <v>2.5999999999999999E-3</v>
      </c>
      <c r="N5" s="37">
        <v>5.2299999999999999E-2</v>
      </c>
      <c r="O5" s="2">
        <v>0.74109999999999998</v>
      </c>
      <c r="P5" s="37">
        <v>0.68400000000000005</v>
      </c>
      <c r="Q5" s="37">
        <v>0.6169</v>
      </c>
      <c r="R5" s="37">
        <v>0.5282</v>
      </c>
      <c r="S5" s="37">
        <v>0.3906</v>
      </c>
      <c r="T5" s="37">
        <v>0.56130000000000002</v>
      </c>
      <c r="U5" s="2">
        <v>0.47439999999999999</v>
      </c>
      <c r="V5" s="37">
        <v>0.54500000000000004</v>
      </c>
      <c r="W5" s="37">
        <v>0.621</v>
      </c>
      <c r="X5" s="37">
        <v>0.70630000000000004</v>
      </c>
      <c r="Y5" s="37">
        <v>0.81940000000000002</v>
      </c>
      <c r="Z5" s="37">
        <v>0.65680000000000005</v>
      </c>
      <c r="AA5" s="2">
        <v>0.57850000000000001</v>
      </c>
      <c r="AB5" s="37">
        <v>0.60670000000000002</v>
      </c>
      <c r="AC5" s="37">
        <v>0.61899999999999999</v>
      </c>
      <c r="AD5" s="37">
        <v>0.60440000000000005</v>
      </c>
      <c r="AE5" s="37">
        <v>0.52900000000000003</v>
      </c>
      <c r="AF5" s="38">
        <v>0.60529999999999995</v>
      </c>
    </row>
    <row r="6" spans="2:32" x14ac:dyDescent="0.25">
      <c r="B6" s="36" t="s">
        <v>57</v>
      </c>
      <c r="C6" s="2">
        <v>4.0099999999999997E-2</v>
      </c>
      <c r="D6" s="37">
        <v>4.02E-2</v>
      </c>
      <c r="E6" s="37">
        <v>4.1799999999999997E-2</v>
      </c>
      <c r="F6" s="37">
        <v>4.6600000000000003E-2</v>
      </c>
      <c r="G6" s="37">
        <v>6.1600000000000002E-2</v>
      </c>
      <c r="H6" s="37">
        <v>4.8000000000000001E-2</v>
      </c>
      <c r="I6" s="2">
        <v>0.1057</v>
      </c>
      <c r="J6" s="37">
        <v>0.1047</v>
      </c>
      <c r="K6" s="37">
        <v>9.1399999999999995E-2</v>
      </c>
      <c r="L6" s="37">
        <v>6.3200000000000006E-2</v>
      </c>
      <c r="M6" s="37">
        <v>1.7000000000000001E-2</v>
      </c>
      <c r="N6" s="37">
        <v>6.8199999999999997E-2</v>
      </c>
      <c r="O6" s="2">
        <v>0.76349999999999996</v>
      </c>
      <c r="P6" s="37">
        <v>0.71540000000000004</v>
      </c>
      <c r="Q6" s="37">
        <v>0.66149999999999998</v>
      </c>
      <c r="R6" s="37">
        <v>0.59250000000000003</v>
      </c>
      <c r="S6" s="37">
        <v>0.4824</v>
      </c>
      <c r="T6" s="37">
        <v>0.57820000000000005</v>
      </c>
      <c r="U6" s="2">
        <v>0.45540000000000003</v>
      </c>
      <c r="V6" s="37">
        <v>0.51929999999999998</v>
      </c>
      <c r="W6" s="37">
        <v>0.58199999999999996</v>
      </c>
      <c r="X6" s="37">
        <v>0.65059999999999996</v>
      </c>
      <c r="Y6" s="37">
        <v>0.74470000000000003</v>
      </c>
      <c r="Z6" s="37">
        <v>0.66200000000000003</v>
      </c>
      <c r="AA6" s="2">
        <v>0.57050000000000001</v>
      </c>
      <c r="AB6" s="37">
        <v>0.60170000000000001</v>
      </c>
      <c r="AC6" s="37">
        <v>0.61919999999999997</v>
      </c>
      <c r="AD6" s="37">
        <v>0.62019999999999997</v>
      </c>
      <c r="AE6" s="37">
        <v>0.58550000000000002</v>
      </c>
      <c r="AF6" s="38">
        <v>0.61729999999999996</v>
      </c>
    </row>
    <row r="7" spans="2:32" x14ac:dyDescent="0.25">
      <c r="B7" s="36" t="s">
        <v>83</v>
      </c>
      <c r="C7" s="2">
        <v>5.3800000000000001E-2</v>
      </c>
      <c r="D7" s="37">
        <v>5.4899999999999997E-2</v>
      </c>
      <c r="E7" s="37">
        <v>5.9499999999999997E-2</v>
      </c>
      <c r="F7" s="37">
        <v>7.2300000000000003E-2</v>
      </c>
      <c r="G7" s="37">
        <v>0.1148</v>
      </c>
      <c r="H7" s="37">
        <v>6.8900000000000003E-2</v>
      </c>
      <c r="I7" s="2">
        <v>8.1199999999999994E-2</v>
      </c>
      <c r="J7" s="37">
        <v>7.6200000000000004E-2</v>
      </c>
      <c r="K7" s="37">
        <v>5.5599999999999997E-2</v>
      </c>
      <c r="L7" s="37">
        <v>2.3599999999999999E-2</v>
      </c>
      <c r="M7" s="37">
        <v>1.6000000000000001E-3</v>
      </c>
      <c r="N7" s="37">
        <v>3.7199999999999997E-2</v>
      </c>
      <c r="O7" s="2">
        <v>0.74490000000000001</v>
      </c>
      <c r="P7" s="37">
        <v>0.6845</v>
      </c>
      <c r="Q7" s="37">
        <v>0.61370000000000002</v>
      </c>
      <c r="R7" s="37">
        <v>0.52329999999999999</v>
      </c>
      <c r="S7" s="37">
        <v>0.38550000000000001</v>
      </c>
      <c r="T7" s="37">
        <v>0.54449999999999998</v>
      </c>
      <c r="U7" s="2">
        <v>0.45900000000000002</v>
      </c>
      <c r="V7" s="37">
        <v>0.53439999999999999</v>
      </c>
      <c r="W7" s="37">
        <v>0.61419999999999997</v>
      </c>
      <c r="X7" s="37">
        <v>0.7056</v>
      </c>
      <c r="Y7" s="37">
        <v>0.82340000000000002</v>
      </c>
      <c r="Z7" s="37">
        <v>0.65200000000000002</v>
      </c>
      <c r="AA7" s="2">
        <v>0.56799999999999995</v>
      </c>
      <c r="AB7" s="37">
        <v>0.60019999999999996</v>
      </c>
      <c r="AC7" s="37">
        <v>0.61399999999999999</v>
      </c>
      <c r="AD7" s="37">
        <v>0.60089999999999999</v>
      </c>
      <c r="AE7" s="37">
        <v>0.5252</v>
      </c>
      <c r="AF7" s="38">
        <v>0.59340000000000004</v>
      </c>
    </row>
    <row r="8" spans="2:32" x14ac:dyDescent="0.25">
      <c r="B8" s="36" t="s">
        <v>106</v>
      </c>
      <c r="C8" s="2">
        <v>5.2999999999999999E-2</v>
      </c>
      <c r="D8" s="37">
        <v>5.3900000000000003E-2</v>
      </c>
      <c r="E8" s="37">
        <v>5.8400000000000001E-2</v>
      </c>
      <c r="F8" s="37">
        <v>7.0199999999999999E-2</v>
      </c>
      <c r="G8" s="37">
        <v>0.11070000000000001</v>
      </c>
      <c r="H8" s="37">
        <v>6.3500000000000001E-2</v>
      </c>
      <c r="I8" s="2">
        <v>8.6699999999999999E-2</v>
      </c>
      <c r="J8" s="37">
        <v>8.1299999999999997E-2</v>
      </c>
      <c r="K8" s="37">
        <v>5.9299999999999999E-2</v>
      </c>
      <c r="L8" s="37">
        <v>2.7699999999999999E-2</v>
      </c>
      <c r="M8" s="37">
        <v>1.9E-3</v>
      </c>
      <c r="N8" s="37">
        <v>4.9099999999999998E-2</v>
      </c>
      <c r="O8" s="2">
        <v>0.74580000000000002</v>
      </c>
      <c r="P8" s="37">
        <v>0.69069999999999998</v>
      </c>
      <c r="Q8" s="37">
        <v>0.62119999999999997</v>
      </c>
      <c r="R8" s="37">
        <v>0.53349999999999997</v>
      </c>
      <c r="S8" s="37">
        <v>0.39529999999999998</v>
      </c>
      <c r="T8" s="37">
        <v>0.57750000000000001</v>
      </c>
      <c r="U8" s="2">
        <v>0.47389999999999999</v>
      </c>
      <c r="V8" s="37">
        <v>0.54430000000000001</v>
      </c>
      <c r="W8" s="37">
        <v>0.62029999999999996</v>
      </c>
      <c r="X8" s="37">
        <v>0.70689999999999997</v>
      </c>
      <c r="Y8" s="37">
        <v>0.82220000000000004</v>
      </c>
      <c r="Z8" s="37">
        <v>0.6593</v>
      </c>
      <c r="AA8" s="2">
        <v>0.57950000000000002</v>
      </c>
      <c r="AB8" s="37">
        <v>0.60880000000000001</v>
      </c>
      <c r="AC8" s="37">
        <v>0.62070000000000003</v>
      </c>
      <c r="AD8" s="37">
        <v>0.60809999999999997</v>
      </c>
      <c r="AE8" s="37">
        <v>0.53390000000000004</v>
      </c>
      <c r="AF8" s="38">
        <v>0.61570000000000003</v>
      </c>
    </row>
    <row r="9" spans="2:32" x14ac:dyDescent="0.25">
      <c r="B9" s="36" t="s">
        <v>131</v>
      </c>
      <c r="C9" s="2">
        <v>5.2499999999999998E-2</v>
      </c>
      <c r="D9" s="37">
        <v>5.2600000000000001E-2</v>
      </c>
      <c r="E9" s="37">
        <v>5.45E-2</v>
      </c>
      <c r="F9" s="37">
        <v>6.0400000000000002E-2</v>
      </c>
      <c r="G9" s="37">
        <v>7.9299999999999995E-2</v>
      </c>
      <c r="H9" s="37">
        <v>6.1400000000000003E-2</v>
      </c>
      <c r="I9" s="2">
        <v>9.98E-2</v>
      </c>
      <c r="J9" s="37">
        <v>0.1007</v>
      </c>
      <c r="K9" s="37">
        <v>8.3599999999999994E-2</v>
      </c>
      <c r="L9" s="37">
        <v>5.62E-2</v>
      </c>
      <c r="M9" s="37">
        <v>1.6799999999999999E-2</v>
      </c>
      <c r="N9" s="37">
        <v>6.6600000000000006E-2</v>
      </c>
      <c r="O9" s="2">
        <v>0.77100000000000002</v>
      </c>
      <c r="P9" s="37">
        <v>0.72389999999999999</v>
      </c>
      <c r="Q9" s="37">
        <v>0.66990000000000005</v>
      </c>
      <c r="R9" s="37">
        <v>0.6</v>
      </c>
      <c r="S9" s="37">
        <v>0.49059999999999998</v>
      </c>
      <c r="T9" s="37">
        <v>0.59209999999999996</v>
      </c>
      <c r="U9" s="2">
        <v>0.45379999999999998</v>
      </c>
      <c r="V9" s="37">
        <v>0.51400000000000001</v>
      </c>
      <c r="W9" s="37">
        <v>0.5766</v>
      </c>
      <c r="X9" s="37">
        <v>0.64939999999999998</v>
      </c>
      <c r="Y9" s="37">
        <v>0.74560000000000004</v>
      </c>
      <c r="Z9" s="37">
        <v>0.65480000000000005</v>
      </c>
      <c r="AA9" s="2">
        <v>0.57130000000000003</v>
      </c>
      <c r="AB9" s="37">
        <v>0.60109999999999997</v>
      </c>
      <c r="AC9" s="37">
        <v>0.61970000000000003</v>
      </c>
      <c r="AD9" s="37">
        <v>0.62370000000000003</v>
      </c>
      <c r="AE9" s="37">
        <v>0.59179999999999999</v>
      </c>
      <c r="AF9" s="38">
        <v>0.62190000000000001</v>
      </c>
    </row>
    <row r="10" spans="2:32" x14ac:dyDescent="0.25">
      <c r="B10" s="36" t="s">
        <v>157</v>
      </c>
      <c r="C10" s="2">
        <v>3.73E-2</v>
      </c>
      <c r="D10" s="37">
        <v>3.6700000000000003E-2</v>
      </c>
      <c r="E10" s="37">
        <v>3.8800000000000001E-2</v>
      </c>
      <c r="F10" s="37">
        <v>4.6199999999999998E-2</v>
      </c>
      <c r="G10" s="37">
        <v>7.4700000000000003E-2</v>
      </c>
      <c r="H10" s="37">
        <v>4.5100000000000001E-2</v>
      </c>
      <c r="I10" s="2">
        <v>8.8099999999999998E-2</v>
      </c>
      <c r="J10" s="37">
        <v>8.8599999999999998E-2</v>
      </c>
      <c r="K10" s="37">
        <v>7.7399999999999997E-2</v>
      </c>
      <c r="L10" s="37">
        <v>4.24E-2</v>
      </c>
      <c r="M10" s="37">
        <v>2.3999999999999998E-3</v>
      </c>
      <c r="N10" s="37">
        <v>5.8099999999999999E-2</v>
      </c>
      <c r="O10" s="2">
        <v>0.79249999999999998</v>
      </c>
      <c r="P10" s="37">
        <v>0.74260000000000004</v>
      </c>
      <c r="Q10" s="37">
        <v>0.67110000000000003</v>
      </c>
      <c r="R10" s="37">
        <v>0.57420000000000004</v>
      </c>
      <c r="S10" s="37">
        <v>0.41710000000000003</v>
      </c>
      <c r="T10" s="37">
        <v>0.58650000000000002</v>
      </c>
      <c r="U10" s="2">
        <v>0.45889999999999997</v>
      </c>
      <c r="V10" s="37">
        <v>0.53569999999999995</v>
      </c>
      <c r="W10" s="37">
        <v>0.61180000000000001</v>
      </c>
      <c r="X10" s="37">
        <v>0.70030000000000003</v>
      </c>
      <c r="Y10" s="37">
        <v>0.81640000000000001</v>
      </c>
      <c r="Z10" s="37">
        <v>0.67720000000000002</v>
      </c>
      <c r="AA10" s="2">
        <v>0.58120000000000005</v>
      </c>
      <c r="AB10" s="37">
        <v>0.62239999999999995</v>
      </c>
      <c r="AC10" s="37">
        <v>0.6401</v>
      </c>
      <c r="AD10" s="37">
        <v>0.63100000000000001</v>
      </c>
      <c r="AE10" s="37">
        <v>0.55220000000000002</v>
      </c>
      <c r="AF10" s="38">
        <v>0.62860000000000005</v>
      </c>
    </row>
    <row r="11" spans="2:32" x14ac:dyDescent="0.25">
      <c r="B11" s="36" t="s">
        <v>182</v>
      </c>
      <c r="C11" s="2">
        <v>3.7100000000000001E-2</v>
      </c>
      <c r="D11" s="37">
        <v>3.7199999999999997E-2</v>
      </c>
      <c r="E11" s="37">
        <v>0.04</v>
      </c>
      <c r="F11" s="37">
        <v>4.8800000000000003E-2</v>
      </c>
      <c r="G11" s="37">
        <v>7.9699999999999993E-2</v>
      </c>
      <c r="H11" s="37">
        <v>4.3999999999999997E-2</v>
      </c>
      <c r="I11" s="2">
        <v>9.3200000000000005E-2</v>
      </c>
      <c r="J11" s="37">
        <v>9.6100000000000005E-2</v>
      </c>
      <c r="K11" s="37">
        <v>7.9699999999999993E-2</v>
      </c>
      <c r="L11" s="37">
        <v>4.2299999999999997E-2</v>
      </c>
      <c r="M11" s="37">
        <v>4.7999999999999996E-3</v>
      </c>
      <c r="N11" s="37">
        <v>6.6000000000000003E-2</v>
      </c>
      <c r="O11" s="2">
        <v>0.77170000000000005</v>
      </c>
      <c r="P11" s="37">
        <v>0.71940000000000004</v>
      </c>
      <c r="Q11" s="37">
        <v>0.64880000000000004</v>
      </c>
      <c r="R11" s="37">
        <v>0.5524</v>
      </c>
      <c r="S11" s="37">
        <v>0.3992</v>
      </c>
      <c r="T11" s="37">
        <v>0.59970000000000001</v>
      </c>
      <c r="U11" s="2">
        <v>0.48549999999999999</v>
      </c>
      <c r="V11" s="37">
        <v>0.55859999999999999</v>
      </c>
      <c r="W11" s="37">
        <v>0.63280000000000003</v>
      </c>
      <c r="X11" s="37">
        <v>0.71279999999999999</v>
      </c>
      <c r="Y11" s="37">
        <v>0.81820000000000004</v>
      </c>
      <c r="Z11" s="37">
        <v>0.66110000000000002</v>
      </c>
      <c r="AA11" s="2">
        <v>0.59599999999999997</v>
      </c>
      <c r="AB11" s="37">
        <v>0.62890000000000001</v>
      </c>
      <c r="AC11" s="37">
        <v>0.64070000000000005</v>
      </c>
      <c r="AD11" s="37">
        <v>0.62239999999999995</v>
      </c>
      <c r="AE11" s="37">
        <v>0.53659999999999997</v>
      </c>
      <c r="AF11" s="38">
        <v>0.62890000000000001</v>
      </c>
    </row>
    <row r="12" spans="2:32" x14ac:dyDescent="0.25">
      <c r="B12" s="36" t="s">
        <v>206</v>
      </c>
      <c r="C12" s="2">
        <v>3.7699999999999997E-2</v>
      </c>
      <c r="D12" s="37">
        <v>3.7600000000000001E-2</v>
      </c>
      <c r="E12" s="37">
        <v>3.9800000000000002E-2</v>
      </c>
      <c r="F12" s="37">
        <v>4.7699999999999999E-2</v>
      </c>
      <c r="G12" s="37">
        <v>7.7299999999999994E-2</v>
      </c>
      <c r="H12" s="37">
        <v>6.3E-2</v>
      </c>
      <c r="I12" s="2">
        <v>7.9100000000000004E-2</v>
      </c>
      <c r="J12" s="37">
        <v>8.3400000000000002E-2</v>
      </c>
      <c r="K12" s="37">
        <v>6.7799999999999999E-2</v>
      </c>
      <c r="L12" s="37">
        <v>3.3099999999999997E-2</v>
      </c>
      <c r="M12" s="37">
        <v>2.8E-3</v>
      </c>
      <c r="N12" s="37">
        <v>1.14E-2</v>
      </c>
      <c r="O12" s="2">
        <v>0.77539999999999998</v>
      </c>
      <c r="P12" s="37">
        <v>0.72299999999999998</v>
      </c>
      <c r="Q12" s="37">
        <v>0.65680000000000005</v>
      </c>
      <c r="R12" s="37">
        <v>0.56220000000000003</v>
      </c>
      <c r="S12" s="37">
        <v>0.40679999999999999</v>
      </c>
      <c r="T12" s="37">
        <v>0.45950000000000002</v>
      </c>
      <c r="U12" s="2">
        <v>0.46739999999999998</v>
      </c>
      <c r="V12" s="37">
        <v>0.54079999999999995</v>
      </c>
      <c r="W12" s="37">
        <v>0.61750000000000005</v>
      </c>
      <c r="X12" s="37">
        <v>0.69889999999999997</v>
      </c>
      <c r="Y12" s="37">
        <v>0.80679999999999996</v>
      </c>
      <c r="Z12" s="37">
        <v>0.66279999999999994</v>
      </c>
      <c r="AA12" s="2">
        <v>0.58320000000000005</v>
      </c>
      <c r="AB12" s="37">
        <v>0.61880000000000002</v>
      </c>
      <c r="AC12" s="37">
        <v>0.63660000000000005</v>
      </c>
      <c r="AD12" s="37">
        <v>0.62309999999999999</v>
      </c>
      <c r="AE12" s="37">
        <v>0.54090000000000005</v>
      </c>
      <c r="AF12" s="38">
        <v>0.54279999999999995</v>
      </c>
    </row>
    <row r="13" spans="2:32" x14ac:dyDescent="0.25">
      <c r="B13" s="36" t="s">
        <v>231</v>
      </c>
      <c r="C13" s="2">
        <v>5.0599999999999999E-2</v>
      </c>
      <c r="D13" s="37">
        <v>5.0099999999999999E-2</v>
      </c>
      <c r="E13" s="37">
        <v>5.28E-2</v>
      </c>
      <c r="F13" s="37">
        <v>6.3399999999999998E-2</v>
      </c>
      <c r="G13" s="37">
        <v>0.1041</v>
      </c>
      <c r="H13" s="37">
        <v>5.9200000000000003E-2</v>
      </c>
      <c r="I13" s="2">
        <v>8.5400000000000004E-2</v>
      </c>
      <c r="J13" s="37">
        <v>9.4100000000000003E-2</v>
      </c>
      <c r="K13" s="37">
        <v>8.2600000000000007E-2</v>
      </c>
      <c r="L13" s="37">
        <v>3.8300000000000001E-2</v>
      </c>
      <c r="M13" s="37">
        <v>2.3999999999999998E-3</v>
      </c>
      <c r="N13" s="37">
        <v>6.4399999999999999E-2</v>
      </c>
      <c r="O13" s="2">
        <v>0.79310000000000003</v>
      </c>
      <c r="P13" s="37">
        <v>0.73760000000000003</v>
      </c>
      <c r="Q13" s="37">
        <v>0.66649999999999998</v>
      </c>
      <c r="R13" s="37">
        <v>0.56720000000000004</v>
      </c>
      <c r="S13" s="37">
        <v>0.4083</v>
      </c>
      <c r="T13" s="37">
        <v>0.59960000000000002</v>
      </c>
      <c r="U13" s="2">
        <v>0.45240000000000002</v>
      </c>
      <c r="V13" s="37">
        <v>0.52949999999999997</v>
      </c>
      <c r="W13" s="37">
        <v>0.61219999999999997</v>
      </c>
      <c r="X13" s="37">
        <v>0.70440000000000003</v>
      </c>
      <c r="Y13" s="37">
        <v>0.82310000000000005</v>
      </c>
      <c r="Z13" s="37">
        <v>0.66579999999999995</v>
      </c>
      <c r="AA13" s="2">
        <v>0.57620000000000005</v>
      </c>
      <c r="AB13" s="37">
        <v>0.61650000000000005</v>
      </c>
      <c r="AC13" s="37">
        <v>0.63819999999999999</v>
      </c>
      <c r="AD13" s="37">
        <v>0.62839999999999996</v>
      </c>
      <c r="AE13" s="37">
        <v>0.54590000000000005</v>
      </c>
      <c r="AF13" s="38">
        <v>0.63100000000000001</v>
      </c>
    </row>
    <row r="14" spans="2:32" x14ac:dyDescent="0.25">
      <c r="B14" s="36" t="s">
        <v>256</v>
      </c>
      <c r="C14" s="2">
        <v>5.0700000000000002E-2</v>
      </c>
      <c r="D14" s="37">
        <v>5.0999999999999997E-2</v>
      </c>
      <c r="E14" s="37">
        <v>5.4800000000000001E-2</v>
      </c>
      <c r="F14" s="37">
        <v>6.7599999999999993E-2</v>
      </c>
      <c r="G14" s="37">
        <v>0.1115</v>
      </c>
      <c r="H14" s="37">
        <v>5.8400000000000001E-2</v>
      </c>
      <c r="I14" s="2">
        <v>9.3299999999999994E-2</v>
      </c>
      <c r="J14" s="37">
        <v>9.5299999999999996E-2</v>
      </c>
      <c r="K14" s="37">
        <v>8.0600000000000005E-2</v>
      </c>
      <c r="L14" s="37">
        <v>3.85E-2</v>
      </c>
      <c r="M14" s="37">
        <v>3.7000000000000002E-3</v>
      </c>
      <c r="N14" s="37">
        <v>7.2099999999999997E-2</v>
      </c>
      <c r="O14" s="2">
        <v>0.76980000000000004</v>
      </c>
      <c r="P14" s="37">
        <v>0.71319999999999995</v>
      </c>
      <c r="Q14" s="37">
        <v>0.64280000000000004</v>
      </c>
      <c r="R14" s="37">
        <v>0.54239999999999999</v>
      </c>
      <c r="S14" s="37">
        <v>0.38929999999999998</v>
      </c>
      <c r="T14" s="37">
        <v>0.60829999999999995</v>
      </c>
      <c r="U14" s="2">
        <v>0.47510000000000002</v>
      </c>
      <c r="V14" s="37">
        <v>0.55049999999999999</v>
      </c>
      <c r="W14" s="37">
        <v>0.62780000000000002</v>
      </c>
      <c r="X14" s="37">
        <v>0.71199999999999997</v>
      </c>
      <c r="Y14" s="37">
        <v>0.82030000000000003</v>
      </c>
      <c r="Z14" s="37">
        <v>0.65090000000000003</v>
      </c>
      <c r="AA14" s="2">
        <v>0.58760000000000001</v>
      </c>
      <c r="AB14" s="37">
        <v>0.62139999999999995</v>
      </c>
      <c r="AC14" s="37">
        <v>0.63519999999999999</v>
      </c>
      <c r="AD14" s="37">
        <v>0.61580000000000001</v>
      </c>
      <c r="AE14" s="37">
        <v>0.52800000000000002</v>
      </c>
      <c r="AF14" s="38">
        <v>0.62880000000000003</v>
      </c>
    </row>
    <row r="15" spans="2:32" x14ac:dyDescent="0.25">
      <c r="B15" s="39" t="s">
        <v>282</v>
      </c>
      <c r="C15" s="40">
        <v>5.1299999999999998E-2</v>
      </c>
      <c r="D15" s="41">
        <v>5.1400000000000001E-2</v>
      </c>
      <c r="E15" s="41">
        <v>5.4399999999999997E-2</v>
      </c>
      <c r="F15" s="41">
        <v>6.54E-2</v>
      </c>
      <c r="G15" s="41">
        <v>0.107</v>
      </c>
      <c r="H15" s="41">
        <v>5.7700000000000001E-2</v>
      </c>
      <c r="I15" s="40">
        <v>7.9600000000000004E-2</v>
      </c>
      <c r="J15" s="41">
        <v>8.43E-2</v>
      </c>
      <c r="K15" s="41">
        <v>7.3599999999999999E-2</v>
      </c>
      <c r="L15" s="41">
        <v>3.2500000000000001E-2</v>
      </c>
      <c r="M15" s="41">
        <v>2E-3</v>
      </c>
      <c r="N15" s="41">
        <v>7.0199999999999999E-2</v>
      </c>
      <c r="O15" s="40">
        <v>0.77790000000000004</v>
      </c>
      <c r="P15" s="41">
        <v>0.72050000000000003</v>
      </c>
      <c r="Q15" s="41">
        <v>0.65210000000000001</v>
      </c>
      <c r="R15" s="41">
        <v>0.55559999999999998</v>
      </c>
      <c r="S15" s="41">
        <v>0.3997</v>
      </c>
      <c r="T15" s="41">
        <v>0.61409999999999998</v>
      </c>
      <c r="U15" s="40">
        <v>0.45500000000000002</v>
      </c>
      <c r="V15" s="41">
        <v>0.52939999999999998</v>
      </c>
      <c r="W15" s="41">
        <v>0.61080000000000001</v>
      </c>
      <c r="X15" s="41">
        <v>0.69720000000000004</v>
      </c>
      <c r="Y15" s="41">
        <v>0.81110000000000004</v>
      </c>
      <c r="Z15" s="41">
        <v>0.64980000000000004</v>
      </c>
      <c r="AA15" s="40">
        <v>0.57410000000000005</v>
      </c>
      <c r="AB15" s="41">
        <v>0.61029999999999995</v>
      </c>
      <c r="AC15" s="41">
        <v>0.63080000000000003</v>
      </c>
      <c r="AD15" s="41">
        <v>0.61839999999999995</v>
      </c>
      <c r="AE15" s="41">
        <v>0.53549999999999998</v>
      </c>
      <c r="AF15" s="42">
        <v>0.63139999999999996</v>
      </c>
    </row>
    <row r="16" spans="2:32" x14ac:dyDescent="0.25">
      <c r="C16" s="1"/>
      <c r="D16" s="1"/>
      <c r="E16" s="1"/>
      <c r="F16" s="1"/>
      <c r="G16" s="1"/>
      <c r="H16" s="1"/>
    </row>
    <row r="17" spans="3:8" x14ac:dyDescent="0.25">
      <c r="C17" s="1"/>
      <c r="D17" s="1"/>
      <c r="E17" s="1"/>
      <c r="F17" s="1"/>
      <c r="G17" s="1"/>
      <c r="H17" s="1"/>
    </row>
    <row r="18" spans="3:8" x14ac:dyDescent="0.25">
      <c r="C18" s="1"/>
      <c r="D18" s="1"/>
      <c r="E18" s="1"/>
      <c r="F18" s="1"/>
      <c r="G18" s="1"/>
      <c r="H18" s="1"/>
    </row>
    <row r="19" spans="3:8" ht="15" customHeight="1" x14ac:dyDescent="0.25">
      <c r="C19" s="1"/>
      <c r="D19" s="1"/>
      <c r="E19" s="1"/>
      <c r="F19" s="1"/>
      <c r="G19" s="1"/>
      <c r="H19" s="1"/>
    </row>
    <row r="20" spans="3:8" x14ac:dyDescent="0.25">
      <c r="C20" s="1"/>
      <c r="D20" s="1"/>
      <c r="E20" s="1"/>
      <c r="F20" s="1"/>
      <c r="G20" s="1"/>
      <c r="H20" s="1"/>
    </row>
    <row r="21" spans="3:8" x14ac:dyDescent="0.25">
      <c r="C21" s="1"/>
      <c r="D21" s="1"/>
      <c r="E21" s="1"/>
      <c r="F21" s="1"/>
      <c r="G21" s="1"/>
      <c r="H21" s="1"/>
    </row>
    <row r="22" spans="3:8" x14ac:dyDescent="0.25">
      <c r="C22" s="1"/>
      <c r="D22" s="1"/>
      <c r="E22" s="1"/>
      <c r="F22" s="1"/>
      <c r="G22" s="1"/>
      <c r="H22" s="1"/>
    </row>
    <row r="23" spans="3:8" x14ac:dyDescent="0.25">
      <c r="C23" s="1"/>
      <c r="D23" s="1"/>
      <c r="E23" s="1"/>
      <c r="F23" s="1"/>
      <c r="G23" s="1"/>
      <c r="H23" s="1"/>
    </row>
    <row r="24" spans="3:8" x14ac:dyDescent="0.25">
      <c r="C24" s="1"/>
      <c r="D24" s="1"/>
      <c r="E24" s="1"/>
      <c r="F24" s="1"/>
      <c r="G24" s="1"/>
      <c r="H24" s="1"/>
    </row>
    <row r="25" spans="3:8" x14ac:dyDescent="0.25">
      <c r="C25" s="1"/>
      <c r="D25" s="1"/>
      <c r="E25" s="1"/>
      <c r="F25" s="1"/>
      <c r="G25" s="1"/>
      <c r="H25" s="1"/>
    </row>
    <row r="26" spans="3:8" x14ac:dyDescent="0.25">
      <c r="C26" s="1"/>
      <c r="D26" s="1"/>
      <c r="E26" s="1"/>
      <c r="F26" s="1"/>
      <c r="G26" s="1"/>
      <c r="H26" s="1"/>
    </row>
    <row r="27" spans="3:8" x14ac:dyDescent="0.25">
      <c r="C27" s="1"/>
      <c r="D27" s="1"/>
      <c r="E27" s="1"/>
      <c r="F27" s="1"/>
      <c r="G27" s="1"/>
      <c r="H27" s="1"/>
    </row>
    <row r="28" spans="3:8" x14ac:dyDescent="0.25">
      <c r="C28" s="1"/>
      <c r="D28" s="1"/>
      <c r="E28" s="1"/>
      <c r="F28" s="1"/>
      <c r="G28" s="1"/>
      <c r="H28" s="1"/>
    </row>
    <row r="29" spans="3:8" x14ac:dyDescent="0.25">
      <c r="C29" s="1"/>
      <c r="D29" s="1"/>
      <c r="E29" s="1"/>
      <c r="F29" s="1"/>
      <c r="G29" s="1"/>
      <c r="H29" s="1"/>
    </row>
    <row r="30" spans="3:8" x14ac:dyDescent="0.25">
      <c r="C30" s="1"/>
      <c r="D30" s="1"/>
      <c r="E30" s="1"/>
      <c r="F30" s="1"/>
      <c r="G30" s="1"/>
      <c r="H30" s="1"/>
    </row>
    <row r="31" spans="3:8" x14ac:dyDescent="0.25">
      <c r="C31" s="1"/>
      <c r="D31" s="1"/>
      <c r="E31" s="1"/>
      <c r="F31" s="1"/>
      <c r="G31" s="1"/>
      <c r="H31" s="1"/>
    </row>
    <row r="32" spans="3:8" x14ac:dyDescent="0.25">
      <c r="C32" s="1"/>
      <c r="D32" s="1"/>
      <c r="E32" s="1"/>
      <c r="F32" s="1"/>
      <c r="G32" s="1"/>
      <c r="H32" s="1"/>
    </row>
    <row r="33" spans="3:8" x14ac:dyDescent="0.25">
      <c r="C33" s="1"/>
      <c r="D33" s="1"/>
      <c r="E33" s="1"/>
      <c r="F33" s="1"/>
      <c r="G33" s="1"/>
      <c r="H33" s="1"/>
    </row>
    <row r="34" spans="3:8" x14ac:dyDescent="0.25">
      <c r="C34" s="1"/>
      <c r="D34" s="1"/>
      <c r="E34" s="1"/>
      <c r="F34" s="1"/>
      <c r="G34" s="1"/>
      <c r="H34" s="1"/>
    </row>
    <row r="35" spans="3:8" x14ac:dyDescent="0.25">
      <c r="C35" s="1"/>
      <c r="D35" s="1"/>
      <c r="E35" s="1"/>
      <c r="F35" s="1"/>
      <c r="G35" s="1"/>
      <c r="H35" s="1"/>
    </row>
    <row r="36" spans="3:8" x14ac:dyDescent="0.25">
      <c r="C36" s="1"/>
      <c r="D36" s="1"/>
      <c r="E36" s="1"/>
      <c r="F36" s="1"/>
      <c r="G36" s="1"/>
      <c r="H36" s="1"/>
    </row>
    <row r="37" spans="3:8" x14ac:dyDescent="0.25">
      <c r="C37" s="1"/>
      <c r="D37" s="1"/>
      <c r="E37" s="1"/>
      <c r="F37" s="1"/>
      <c r="G37" s="1"/>
      <c r="H37" s="1"/>
    </row>
    <row r="38" spans="3:8" x14ac:dyDescent="0.25">
      <c r="C38" s="1"/>
      <c r="D38" s="1"/>
      <c r="E38" s="1"/>
      <c r="F38" s="1"/>
      <c r="G38" s="1"/>
      <c r="H38" s="1"/>
    </row>
    <row r="39" spans="3:8" x14ac:dyDescent="0.25">
      <c r="C39" s="1"/>
      <c r="D39" s="1"/>
      <c r="E39" s="1"/>
      <c r="F39" s="1"/>
      <c r="G39" s="1"/>
      <c r="H39" s="1"/>
    </row>
    <row r="40" spans="3:8" x14ac:dyDescent="0.25">
      <c r="C40" s="1"/>
      <c r="D40" s="1"/>
      <c r="E40" s="1"/>
      <c r="F40" s="1"/>
      <c r="G40" s="1"/>
      <c r="H40" s="1"/>
    </row>
    <row r="41" spans="3:8" x14ac:dyDescent="0.25">
      <c r="C41" s="1"/>
      <c r="D41" s="1"/>
      <c r="E41" s="1"/>
      <c r="F41" s="1"/>
      <c r="G41" s="1"/>
      <c r="H41" s="1"/>
    </row>
    <row r="42" spans="3:8" x14ac:dyDescent="0.25">
      <c r="C42" s="1"/>
      <c r="D42" s="1"/>
      <c r="E42" s="1"/>
      <c r="F42" s="1"/>
      <c r="G42" s="1"/>
      <c r="H42" s="1"/>
    </row>
    <row r="43" spans="3:8" x14ac:dyDescent="0.25">
      <c r="C43" s="1"/>
      <c r="D43" s="1"/>
      <c r="E43" s="1"/>
      <c r="F43" s="1"/>
      <c r="G43" s="1"/>
      <c r="H43" s="1"/>
    </row>
    <row r="44" spans="3:8" x14ac:dyDescent="0.25">
      <c r="C44" s="1"/>
      <c r="D44" s="1"/>
      <c r="E44" s="1"/>
      <c r="F44" s="1"/>
      <c r="G44" s="1"/>
      <c r="H44" s="1"/>
    </row>
    <row r="45" spans="3:8" x14ac:dyDescent="0.25">
      <c r="C45" s="1"/>
      <c r="D45" s="1"/>
      <c r="E45" s="1"/>
      <c r="F45" s="1"/>
      <c r="G45" s="1"/>
      <c r="H45" s="1"/>
    </row>
    <row r="46" spans="3:8" x14ac:dyDescent="0.25">
      <c r="C46" s="1"/>
      <c r="D46" s="1"/>
      <c r="E46" s="1"/>
      <c r="F46" s="1"/>
      <c r="G46" s="1"/>
      <c r="H46" s="1"/>
    </row>
    <row r="47" spans="3:8" x14ac:dyDescent="0.25">
      <c r="C47" s="1"/>
      <c r="D47" s="1"/>
      <c r="E47" s="1"/>
      <c r="F47" s="1"/>
      <c r="G47" s="1"/>
      <c r="H47" s="1"/>
    </row>
    <row r="48" spans="3:8" x14ac:dyDescent="0.25">
      <c r="C48" s="1"/>
      <c r="D48" s="1"/>
      <c r="E48" s="1"/>
      <c r="F48" s="1"/>
      <c r="G48" s="1"/>
      <c r="H48" s="1"/>
    </row>
    <row r="49" spans="3:8" x14ac:dyDescent="0.25">
      <c r="C49" s="1"/>
      <c r="D49" s="1"/>
      <c r="E49" s="1"/>
      <c r="F49" s="1"/>
      <c r="G49" s="1"/>
      <c r="H49" s="1"/>
    </row>
    <row r="50" spans="3:8" x14ac:dyDescent="0.25">
      <c r="C50" s="1"/>
      <c r="D50" s="1"/>
      <c r="E50" s="1"/>
      <c r="F50" s="1"/>
      <c r="G50" s="1"/>
      <c r="H50" s="1"/>
    </row>
    <row r="51" spans="3:8" x14ac:dyDescent="0.25">
      <c r="C51" s="1"/>
      <c r="D51" s="1"/>
      <c r="E51" s="1"/>
      <c r="F51" s="1"/>
      <c r="G51" s="1"/>
      <c r="H51" s="1"/>
    </row>
    <row r="52" spans="3:8" x14ac:dyDescent="0.25">
      <c r="C52" s="1"/>
      <c r="D52" s="1"/>
      <c r="E52" s="1"/>
      <c r="F52" s="1"/>
      <c r="G52" s="1"/>
      <c r="H52" s="1"/>
    </row>
    <row r="53" spans="3:8" x14ac:dyDescent="0.25">
      <c r="C53" s="1"/>
      <c r="D53" s="1"/>
      <c r="E53" s="1"/>
      <c r="F53" s="1"/>
      <c r="G53" s="1"/>
      <c r="H53" s="1"/>
    </row>
    <row r="54" spans="3:8" x14ac:dyDescent="0.25">
      <c r="C54" s="1"/>
      <c r="D54" s="1"/>
      <c r="E54" s="1"/>
      <c r="F54" s="1"/>
      <c r="G54" s="1"/>
      <c r="H54" s="1"/>
    </row>
    <row r="55" spans="3:8" x14ac:dyDescent="0.25">
      <c r="C55" s="1"/>
      <c r="D55" s="1"/>
      <c r="E55" s="1"/>
      <c r="F55" s="1"/>
      <c r="G55" s="1"/>
      <c r="H55" s="1"/>
    </row>
    <row r="56" spans="3:8" x14ac:dyDescent="0.25">
      <c r="C56" s="1"/>
      <c r="D56" s="1"/>
      <c r="E56" s="1"/>
      <c r="F56" s="1"/>
      <c r="G56" s="1"/>
      <c r="H56" s="1"/>
    </row>
    <row r="57" spans="3:8" x14ac:dyDescent="0.25">
      <c r="C57" s="1"/>
      <c r="D57" s="1"/>
      <c r="E57" s="1"/>
      <c r="F57" s="1"/>
      <c r="G57" s="1"/>
      <c r="H57" s="1"/>
    </row>
    <row r="58" spans="3:8" x14ac:dyDescent="0.25">
      <c r="C58" s="1"/>
      <c r="D58" s="1"/>
      <c r="E58" s="1"/>
      <c r="F58" s="1"/>
      <c r="G58" s="1"/>
      <c r="H58" s="1"/>
    </row>
    <row r="59" spans="3:8" x14ac:dyDescent="0.25">
      <c r="C59" s="1"/>
      <c r="D59" s="1"/>
      <c r="E59" s="1"/>
      <c r="F59" s="1"/>
      <c r="G59" s="1"/>
      <c r="H59" s="1"/>
    </row>
    <row r="60" spans="3:8" x14ac:dyDescent="0.25">
      <c r="C60" s="1"/>
      <c r="D60" s="1"/>
      <c r="E60" s="1"/>
      <c r="F60" s="1"/>
      <c r="G60" s="1"/>
      <c r="H60" s="1"/>
    </row>
    <row r="61" spans="3:8" x14ac:dyDescent="0.25">
      <c r="C61" s="1"/>
      <c r="D61" s="1"/>
      <c r="E61" s="1"/>
      <c r="F61" s="1"/>
      <c r="G61" s="1"/>
      <c r="H61" s="1"/>
    </row>
    <row r="62" spans="3:8" x14ac:dyDescent="0.25">
      <c r="C62" s="1"/>
      <c r="D62" s="1"/>
      <c r="E62" s="1"/>
      <c r="F62" s="1"/>
      <c r="G62" s="1"/>
      <c r="H62" s="1"/>
    </row>
    <row r="63" spans="3:8" x14ac:dyDescent="0.25">
      <c r="C63" s="1"/>
      <c r="D63" s="1"/>
      <c r="E63" s="1"/>
      <c r="F63" s="1"/>
      <c r="G63" s="1"/>
      <c r="H63" s="1"/>
    </row>
  </sheetData>
  <mergeCells count="6">
    <mergeCell ref="I2:N2"/>
    <mergeCell ref="AA2:AF2"/>
    <mergeCell ref="B2:B3"/>
    <mergeCell ref="C2:H2"/>
    <mergeCell ref="U2:Z2"/>
    <mergeCell ref="O2:T2"/>
  </mergeCells>
  <conditionalFormatting sqref="C4:H15">
    <cfRule type="colorScale" priority="1">
      <colorScale>
        <cfvo type="min"/>
        <cfvo type="max"/>
        <color rgb="FF63BE7B"/>
        <color rgb="FFFCFCFF"/>
      </colorScale>
    </cfRule>
  </conditionalFormatting>
  <conditionalFormatting sqref="I4:N15">
    <cfRule type="colorScale" priority="2">
      <colorScale>
        <cfvo type="min"/>
        <cfvo type="max"/>
        <color rgb="FFFCFCFF"/>
        <color rgb="FF63BE7B"/>
      </colorScale>
    </cfRule>
  </conditionalFormatting>
  <conditionalFormatting sqref="O4:T15">
    <cfRule type="colorScale" priority="3">
      <colorScale>
        <cfvo type="min"/>
        <cfvo type="max"/>
        <color rgb="FFFCFCFF"/>
        <color rgb="FF63BE7B"/>
      </colorScale>
    </cfRule>
  </conditionalFormatting>
  <conditionalFormatting sqref="U4:Z15">
    <cfRule type="colorScale" priority="4">
      <colorScale>
        <cfvo type="min"/>
        <cfvo type="max"/>
        <color rgb="FFFCFCFF"/>
        <color rgb="FF63BE7B"/>
      </colorScale>
    </cfRule>
  </conditionalFormatting>
  <conditionalFormatting sqref="AA4:AF15">
    <cfRule type="colorScale" priority="5">
      <colorScale>
        <cfvo type="min"/>
        <cfvo type="max"/>
        <color rgb="FFFCFCFF"/>
        <color rgb="FF63BE7B"/>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349A2-D45F-4C10-9249-6E73BB933D18}">
  <dimension ref="A1:C61"/>
  <sheetViews>
    <sheetView workbookViewId="0">
      <selection activeCell="I25" sqref="I25"/>
    </sheetView>
  </sheetViews>
  <sheetFormatPr defaultRowHeight="15" x14ac:dyDescent="0.25"/>
  <cols>
    <col min="1" max="1" width="14.140625" bestFit="1" customWidth="1"/>
    <col min="2" max="2" width="47.42578125" bestFit="1" customWidth="1"/>
    <col min="3" max="3" width="11.42578125" bestFit="1" customWidth="1"/>
  </cols>
  <sheetData>
    <row r="1" spans="1:3" x14ac:dyDescent="0.25">
      <c r="A1" t="s">
        <v>454</v>
      </c>
      <c r="B1" t="s">
        <v>453</v>
      </c>
      <c r="C1" t="s">
        <v>452</v>
      </c>
    </row>
    <row r="2" spans="1:3" x14ac:dyDescent="0.25">
      <c r="A2" t="s">
        <v>7</v>
      </c>
      <c r="B2" t="s">
        <v>1</v>
      </c>
      <c r="C2" t="s">
        <v>311</v>
      </c>
    </row>
    <row r="3" spans="1:3" x14ac:dyDescent="0.25">
      <c r="A3" t="s">
        <v>7</v>
      </c>
      <c r="B3" t="s">
        <v>31</v>
      </c>
      <c r="C3" t="s">
        <v>315</v>
      </c>
    </row>
    <row r="4" spans="1:3" x14ac:dyDescent="0.25">
      <c r="A4" t="s">
        <v>7</v>
      </c>
      <c r="B4" t="s">
        <v>57</v>
      </c>
      <c r="C4" t="s">
        <v>318</v>
      </c>
    </row>
    <row r="5" spans="1:3" x14ac:dyDescent="0.25">
      <c r="A5" t="s">
        <v>7</v>
      </c>
      <c r="B5" t="s">
        <v>83</v>
      </c>
      <c r="C5" t="s">
        <v>184</v>
      </c>
    </row>
    <row r="6" spans="1:3" x14ac:dyDescent="0.25">
      <c r="A6" t="s">
        <v>7</v>
      </c>
      <c r="B6" t="s">
        <v>106</v>
      </c>
      <c r="C6" t="s">
        <v>327</v>
      </c>
    </row>
    <row r="7" spans="1:3" x14ac:dyDescent="0.25">
      <c r="A7" t="s">
        <v>7</v>
      </c>
      <c r="B7" t="s">
        <v>131</v>
      </c>
      <c r="C7" t="s">
        <v>332</v>
      </c>
    </row>
    <row r="8" spans="1:3" x14ac:dyDescent="0.25">
      <c r="A8" t="s">
        <v>7</v>
      </c>
      <c r="B8" t="s">
        <v>157</v>
      </c>
      <c r="C8" t="s">
        <v>337</v>
      </c>
    </row>
    <row r="9" spans="1:3" x14ac:dyDescent="0.25">
      <c r="A9" t="s">
        <v>7</v>
      </c>
      <c r="B9" t="s">
        <v>182</v>
      </c>
      <c r="C9" t="s">
        <v>342</v>
      </c>
    </row>
    <row r="10" spans="1:3" x14ac:dyDescent="0.25">
      <c r="A10" t="s">
        <v>7</v>
      </c>
      <c r="B10" t="s">
        <v>206</v>
      </c>
      <c r="C10" t="s">
        <v>346</v>
      </c>
    </row>
    <row r="11" spans="1:3" x14ac:dyDescent="0.25">
      <c r="A11" t="s">
        <v>7</v>
      </c>
      <c r="B11" t="s">
        <v>231</v>
      </c>
      <c r="C11" t="s">
        <v>351</v>
      </c>
    </row>
    <row r="12" spans="1:3" x14ac:dyDescent="0.25">
      <c r="A12" t="s">
        <v>7</v>
      </c>
      <c r="B12" t="s">
        <v>256</v>
      </c>
      <c r="C12" t="s">
        <v>354</v>
      </c>
    </row>
    <row r="13" spans="1:3" x14ac:dyDescent="0.25">
      <c r="A13" t="s">
        <v>7</v>
      </c>
      <c r="B13" t="s">
        <v>282</v>
      </c>
      <c r="C13" t="s">
        <v>110</v>
      </c>
    </row>
    <row r="14" spans="1:3" x14ac:dyDescent="0.25">
      <c r="A14" t="s">
        <v>25</v>
      </c>
      <c r="B14" t="s">
        <v>1</v>
      </c>
      <c r="C14" t="s">
        <v>314</v>
      </c>
    </row>
    <row r="15" spans="1:3" x14ac:dyDescent="0.25">
      <c r="A15" t="s">
        <v>25</v>
      </c>
      <c r="B15" t="s">
        <v>31</v>
      </c>
      <c r="C15" t="s">
        <v>316</v>
      </c>
    </row>
    <row r="16" spans="1:3" x14ac:dyDescent="0.25">
      <c r="A16" t="s">
        <v>25</v>
      </c>
      <c r="B16" t="s">
        <v>57</v>
      </c>
      <c r="C16" t="s">
        <v>321</v>
      </c>
    </row>
    <row r="17" spans="1:3" x14ac:dyDescent="0.25">
      <c r="A17" t="s">
        <v>25</v>
      </c>
      <c r="B17" t="s">
        <v>83</v>
      </c>
      <c r="C17" t="s">
        <v>325</v>
      </c>
    </row>
    <row r="18" spans="1:3" x14ac:dyDescent="0.25">
      <c r="A18" t="s">
        <v>25</v>
      </c>
      <c r="B18" t="s">
        <v>106</v>
      </c>
      <c r="C18" t="s">
        <v>330</v>
      </c>
    </row>
    <row r="19" spans="1:3" x14ac:dyDescent="0.25">
      <c r="A19" t="s">
        <v>25</v>
      </c>
      <c r="B19" t="s">
        <v>131</v>
      </c>
      <c r="C19" t="s">
        <v>335</v>
      </c>
    </row>
    <row r="20" spans="1:3" x14ac:dyDescent="0.25">
      <c r="A20" t="s">
        <v>25</v>
      </c>
      <c r="B20" t="s">
        <v>157</v>
      </c>
      <c r="C20" t="s">
        <v>340</v>
      </c>
    </row>
    <row r="21" spans="1:3" x14ac:dyDescent="0.25">
      <c r="A21" t="s">
        <v>25</v>
      </c>
      <c r="B21" t="s">
        <v>182</v>
      </c>
      <c r="C21" t="s">
        <v>203</v>
      </c>
    </row>
    <row r="22" spans="1:3" x14ac:dyDescent="0.25">
      <c r="A22" t="s">
        <v>25</v>
      </c>
      <c r="B22" t="s">
        <v>206</v>
      </c>
      <c r="C22" t="s">
        <v>349</v>
      </c>
    </row>
    <row r="23" spans="1:3" x14ac:dyDescent="0.25">
      <c r="A23" t="s">
        <v>25</v>
      </c>
      <c r="B23" t="s">
        <v>231</v>
      </c>
      <c r="C23" t="s">
        <v>180</v>
      </c>
    </row>
    <row r="24" spans="1:3" x14ac:dyDescent="0.25">
      <c r="A24" t="s">
        <v>25</v>
      </c>
      <c r="B24" t="s">
        <v>256</v>
      </c>
      <c r="C24" t="s">
        <v>357</v>
      </c>
    </row>
    <row r="25" spans="1:3" x14ac:dyDescent="0.25">
      <c r="A25" t="s">
        <v>25</v>
      </c>
      <c r="B25" t="s">
        <v>282</v>
      </c>
      <c r="C25" t="s">
        <v>361</v>
      </c>
    </row>
    <row r="26" spans="1:3" x14ac:dyDescent="0.25">
      <c r="A26" t="s">
        <v>0</v>
      </c>
      <c r="B26" t="s">
        <v>1</v>
      </c>
      <c r="C26" t="s">
        <v>310</v>
      </c>
    </row>
    <row r="27" spans="1:3" x14ac:dyDescent="0.25">
      <c r="A27" t="s">
        <v>0</v>
      </c>
      <c r="B27" t="s">
        <v>31</v>
      </c>
      <c r="C27" t="s">
        <v>233</v>
      </c>
    </row>
    <row r="28" spans="1:3" x14ac:dyDescent="0.25">
      <c r="A28" t="s">
        <v>0</v>
      </c>
      <c r="B28" t="s">
        <v>57</v>
      </c>
      <c r="C28" t="s">
        <v>317</v>
      </c>
    </row>
    <row r="29" spans="1:3" x14ac:dyDescent="0.25">
      <c r="A29" t="s">
        <v>0</v>
      </c>
      <c r="B29" t="s">
        <v>83</v>
      </c>
      <c r="C29" t="s">
        <v>322</v>
      </c>
    </row>
    <row r="30" spans="1:3" x14ac:dyDescent="0.25">
      <c r="A30" t="s">
        <v>0</v>
      </c>
      <c r="B30" t="s">
        <v>106</v>
      </c>
      <c r="C30" t="s">
        <v>326</v>
      </c>
    </row>
    <row r="31" spans="1:3" x14ac:dyDescent="0.25">
      <c r="A31" t="s">
        <v>0</v>
      </c>
      <c r="B31" t="s">
        <v>131</v>
      </c>
      <c r="C31" t="s">
        <v>331</v>
      </c>
    </row>
    <row r="32" spans="1:3" x14ac:dyDescent="0.25">
      <c r="A32" t="s">
        <v>0</v>
      </c>
      <c r="B32" t="s">
        <v>157</v>
      </c>
      <c r="C32" t="s">
        <v>336</v>
      </c>
    </row>
    <row r="33" spans="1:3" x14ac:dyDescent="0.25">
      <c r="A33" t="s">
        <v>0</v>
      </c>
      <c r="B33" t="s">
        <v>182</v>
      </c>
      <c r="C33" t="s">
        <v>341</v>
      </c>
    </row>
    <row r="34" spans="1:3" x14ac:dyDescent="0.25">
      <c r="A34" t="s">
        <v>0</v>
      </c>
      <c r="B34" t="s">
        <v>206</v>
      </c>
      <c r="C34" t="s">
        <v>345</v>
      </c>
    </row>
    <row r="35" spans="1:3" x14ac:dyDescent="0.25">
      <c r="A35" t="s">
        <v>0</v>
      </c>
      <c r="B35" t="s">
        <v>231</v>
      </c>
      <c r="C35" t="s">
        <v>350</v>
      </c>
    </row>
    <row r="36" spans="1:3" x14ac:dyDescent="0.25">
      <c r="A36" t="s">
        <v>0</v>
      </c>
      <c r="B36" t="s">
        <v>256</v>
      </c>
      <c r="C36" t="s">
        <v>109</v>
      </c>
    </row>
    <row r="37" spans="1:3" x14ac:dyDescent="0.25">
      <c r="A37" t="s">
        <v>0</v>
      </c>
      <c r="B37" t="s">
        <v>282</v>
      </c>
      <c r="C37" t="s">
        <v>358</v>
      </c>
    </row>
    <row r="38" spans="1:3" x14ac:dyDescent="0.25">
      <c r="A38" t="s">
        <v>13</v>
      </c>
      <c r="B38" t="s">
        <v>1</v>
      </c>
      <c r="C38" t="s">
        <v>312</v>
      </c>
    </row>
    <row r="39" spans="1:3" x14ac:dyDescent="0.25">
      <c r="A39" t="s">
        <v>13</v>
      </c>
      <c r="B39" t="s">
        <v>31</v>
      </c>
      <c r="C39" t="s">
        <v>314</v>
      </c>
    </row>
    <row r="40" spans="1:3" x14ac:dyDescent="0.25">
      <c r="A40" t="s">
        <v>13</v>
      </c>
      <c r="B40" t="s">
        <v>57</v>
      </c>
      <c r="C40" t="s">
        <v>319</v>
      </c>
    </row>
    <row r="41" spans="1:3" x14ac:dyDescent="0.25">
      <c r="A41" t="s">
        <v>13</v>
      </c>
      <c r="B41" t="s">
        <v>83</v>
      </c>
      <c r="C41" t="s">
        <v>323</v>
      </c>
    </row>
    <row r="42" spans="1:3" x14ac:dyDescent="0.25">
      <c r="A42" t="s">
        <v>13</v>
      </c>
      <c r="B42" t="s">
        <v>106</v>
      </c>
      <c r="C42" t="s">
        <v>328</v>
      </c>
    </row>
    <row r="43" spans="1:3" x14ac:dyDescent="0.25">
      <c r="A43" t="s">
        <v>13</v>
      </c>
      <c r="B43" t="s">
        <v>131</v>
      </c>
      <c r="C43" t="s">
        <v>333</v>
      </c>
    </row>
    <row r="44" spans="1:3" x14ac:dyDescent="0.25">
      <c r="A44" t="s">
        <v>13</v>
      </c>
      <c r="B44" t="s">
        <v>157</v>
      </c>
      <c r="C44" t="s">
        <v>338</v>
      </c>
    </row>
    <row r="45" spans="1:3" x14ac:dyDescent="0.25">
      <c r="A45" t="s">
        <v>13</v>
      </c>
      <c r="B45" t="s">
        <v>182</v>
      </c>
      <c r="C45" t="s">
        <v>343</v>
      </c>
    </row>
    <row r="46" spans="1:3" x14ac:dyDescent="0.25">
      <c r="A46" t="s">
        <v>13</v>
      </c>
      <c r="B46" t="s">
        <v>206</v>
      </c>
      <c r="C46" t="s">
        <v>347</v>
      </c>
    </row>
    <row r="47" spans="1:3" x14ac:dyDescent="0.25">
      <c r="A47" t="s">
        <v>13</v>
      </c>
      <c r="B47" t="s">
        <v>231</v>
      </c>
      <c r="C47" t="s">
        <v>352</v>
      </c>
    </row>
    <row r="48" spans="1:3" x14ac:dyDescent="0.25">
      <c r="A48" t="s">
        <v>13</v>
      </c>
      <c r="B48" t="s">
        <v>256</v>
      </c>
      <c r="C48" t="s">
        <v>355</v>
      </c>
    </row>
    <row r="49" spans="1:3" x14ac:dyDescent="0.25">
      <c r="A49" t="s">
        <v>13</v>
      </c>
      <c r="B49" t="s">
        <v>282</v>
      </c>
      <c r="C49" t="s">
        <v>359</v>
      </c>
    </row>
    <row r="50" spans="1:3" x14ac:dyDescent="0.25">
      <c r="A50" t="s">
        <v>19</v>
      </c>
      <c r="B50" t="s">
        <v>1</v>
      </c>
      <c r="C50" t="s">
        <v>313</v>
      </c>
    </row>
    <row r="51" spans="1:3" x14ac:dyDescent="0.25">
      <c r="A51" t="s">
        <v>19</v>
      </c>
      <c r="B51" t="s">
        <v>31</v>
      </c>
      <c r="C51" t="s">
        <v>218</v>
      </c>
    </row>
    <row r="52" spans="1:3" x14ac:dyDescent="0.25">
      <c r="A52" t="s">
        <v>19</v>
      </c>
      <c r="B52" t="s">
        <v>57</v>
      </c>
      <c r="C52" t="s">
        <v>320</v>
      </c>
    </row>
    <row r="53" spans="1:3" x14ac:dyDescent="0.25">
      <c r="A53" t="s">
        <v>19</v>
      </c>
      <c r="B53" t="s">
        <v>83</v>
      </c>
      <c r="C53" t="s">
        <v>324</v>
      </c>
    </row>
    <row r="54" spans="1:3" x14ac:dyDescent="0.25">
      <c r="A54" t="s">
        <v>19</v>
      </c>
      <c r="B54" t="s">
        <v>106</v>
      </c>
      <c r="C54" t="s">
        <v>329</v>
      </c>
    </row>
    <row r="55" spans="1:3" x14ac:dyDescent="0.25">
      <c r="A55" t="s">
        <v>19</v>
      </c>
      <c r="B55" t="s">
        <v>131</v>
      </c>
      <c r="C55" t="s">
        <v>334</v>
      </c>
    </row>
    <row r="56" spans="1:3" x14ac:dyDescent="0.25">
      <c r="A56" t="s">
        <v>19</v>
      </c>
      <c r="B56" t="s">
        <v>157</v>
      </c>
      <c r="C56" t="s">
        <v>339</v>
      </c>
    </row>
    <row r="57" spans="1:3" x14ac:dyDescent="0.25">
      <c r="A57" t="s">
        <v>19</v>
      </c>
      <c r="B57" t="s">
        <v>182</v>
      </c>
      <c r="C57" t="s">
        <v>344</v>
      </c>
    </row>
    <row r="58" spans="1:3" x14ac:dyDescent="0.25">
      <c r="A58" t="s">
        <v>19</v>
      </c>
      <c r="B58" t="s">
        <v>206</v>
      </c>
      <c r="C58" t="s">
        <v>348</v>
      </c>
    </row>
    <row r="59" spans="1:3" x14ac:dyDescent="0.25">
      <c r="A59" t="s">
        <v>19</v>
      </c>
      <c r="B59" t="s">
        <v>231</v>
      </c>
      <c r="C59" t="s">
        <v>353</v>
      </c>
    </row>
    <row r="60" spans="1:3" x14ac:dyDescent="0.25">
      <c r="A60" t="s">
        <v>19</v>
      </c>
      <c r="B60" t="s">
        <v>256</v>
      </c>
      <c r="C60" t="s">
        <v>356</v>
      </c>
    </row>
    <row r="61" spans="1:3" x14ac:dyDescent="0.25">
      <c r="A61" t="s">
        <v>19</v>
      </c>
      <c r="B61" t="s">
        <v>282</v>
      </c>
      <c r="C61" t="s">
        <v>360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92067-1208-4F7B-B098-469D727E565A}">
  <dimension ref="B1:G15"/>
  <sheetViews>
    <sheetView workbookViewId="0">
      <selection activeCell="E9" sqref="E9:G9"/>
    </sheetView>
  </sheetViews>
  <sheetFormatPr defaultRowHeight="15" x14ac:dyDescent="0.25"/>
  <cols>
    <col min="2" max="2" width="47.42578125" bestFit="1" customWidth="1"/>
    <col min="3" max="4" width="10" customWidth="1"/>
    <col min="5" max="5" width="10.140625" customWidth="1"/>
    <col min="6" max="7" width="10" customWidth="1"/>
  </cols>
  <sheetData>
    <row r="1" spans="2:7" x14ac:dyDescent="0.25">
      <c r="B1" s="8" t="s">
        <v>456</v>
      </c>
      <c r="C1" s="8"/>
      <c r="D1" s="8"/>
      <c r="E1" s="8"/>
      <c r="F1" s="8"/>
      <c r="G1" s="8"/>
    </row>
    <row r="2" spans="2:7" x14ac:dyDescent="0.25">
      <c r="B2" s="6" t="str">
        <f>results_grouped!B2</f>
        <v>Algorithms</v>
      </c>
      <c r="C2" s="7" t="str">
        <f>results_grouped!C2</f>
        <v>Hamming Loss</v>
      </c>
      <c r="D2" s="6" t="str">
        <f>results_grouped!I2</f>
        <v>Accuracy</v>
      </c>
      <c r="E2" s="6" t="str">
        <f>results_grouped!O2</f>
        <v>Precision</v>
      </c>
      <c r="F2" s="6" t="str">
        <f>results_grouped!U2</f>
        <v>Recall</v>
      </c>
      <c r="G2" s="6" t="str">
        <f>results_grouped!AA2</f>
        <v>F1 Score</v>
      </c>
    </row>
    <row r="3" spans="2:7" x14ac:dyDescent="0.25">
      <c r="B3" s="6"/>
      <c r="C3" s="7"/>
      <c r="D3" s="6"/>
      <c r="E3" s="6"/>
      <c r="F3" s="6"/>
      <c r="G3" s="6"/>
    </row>
    <row r="4" spans="2:7" x14ac:dyDescent="0.25">
      <c r="B4" t="str">
        <f>results_grouped!B4</f>
        <v>SBERT + HDBSCAN + LogisticRegression</v>
      </c>
      <c r="C4" s="1">
        <f>results_grouped!H4</f>
        <v>6.1499999999999999E-2</v>
      </c>
      <c r="D4" s="1">
        <f>results_grouped!N4</f>
        <v>3.3599999999999998E-2</v>
      </c>
      <c r="E4" s="1">
        <f>results_grouped!T4</f>
        <v>0.48120000000000002</v>
      </c>
      <c r="F4" s="1">
        <f>results_grouped!Z4</f>
        <v>0.67320000000000002</v>
      </c>
      <c r="G4" s="1">
        <f>results_grouped!AF4</f>
        <v>0.56130000000000002</v>
      </c>
    </row>
    <row r="5" spans="2:7" x14ac:dyDescent="0.25">
      <c r="B5" t="str">
        <f>results_grouped!B5</f>
        <v>SBERT + HDBSCAN + SVM</v>
      </c>
      <c r="C5" s="1">
        <f>results_grouped!H5</f>
        <v>5.0099999999999999E-2</v>
      </c>
      <c r="D5" s="1">
        <f>results_grouped!N5</f>
        <v>5.2299999999999999E-2</v>
      </c>
      <c r="E5" s="1">
        <f>results_grouped!T5</f>
        <v>0.56130000000000002</v>
      </c>
      <c r="F5" s="1">
        <f>results_grouped!Z5</f>
        <v>0.65680000000000005</v>
      </c>
      <c r="G5" s="1">
        <f>results_grouped!AF5</f>
        <v>0.60529999999999995</v>
      </c>
    </row>
    <row r="6" spans="2:7" x14ac:dyDescent="0.25">
      <c r="B6" t="str">
        <f>results_grouped!B6</f>
        <v>SBERT + HDBSCAN + XGBoost</v>
      </c>
      <c r="C6" s="1">
        <f>results_grouped!H6</f>
        <v>4.8000000000000001E-2</v>
      </c>
      <c r="D6" s="1">
        <f>results_grouped!N6</f>
        <v>6.8199999999999997E-2</v>
      </c>
      <c r="E6" s="1">
        <f>results_grouped!T6</f>
        <v>0.57820000000000005</v>
      </c>
      <c r="F6" s="1">
        <f>results_grouped!Z6</f>
        <v>0.66200000000000003</v>
      </c>
      <c r="G6" s="1">
        <f>results_grouped!AF6</f>
        <v>0.61729999999999996</v>
      </c>
    </row>
    <row r="7" spans="2:7" x14ac:dyDescent="0.25">
      <c r="B7" t="str">
        <f>results_grouped!B7</f>
        <v>SBERT + HierarchicalClustering + LogisticRegression</v>
      </c>
      <c r="C7" s="1">
        <f>results_grouped!H7</f>
        <v>6.8900000000000003E-2</v>
      </c>
      <c r="D7" s="1">
        <f>results_grouped!N7</f>
        <v>3.7199999999999997E-2</v>
      </c>
      <c r="E7" s="1">
        <f>results_grouped!T7</f>
        <v>0.54449999999999998</v>
      </c>
      <c r="F7" s="1">
        <f>results_grouped!Z7</f>
        <v>0.65200000000000002</v>
      </c>
      <c r="G7" s="1">
        <f>results_grouped!AF7</f>
        <v>0.59340000000000004</v>
      </c>
    </row>
    <row r="8" spans="2:7" x14ac:dyDescent="0.25">
      <c r="B8" t="str">
        <f>results_grouped!B8</f>
        <v>SBERT + HierarchicalClustering + SVM</v>
      </c>
      <c r="C8" s="1">
        <f>results_grouped!H8</f>
        <v>6.3500000000000001E-2</v>
      </c>
      <c r="D8" s="1">
        <f>results_grouped!N8</f>
        <v>4.9099999999999998E-2</v>
      </c>
      <c r="E8" s="1">
        <f>results_grouped!T8</f>
        <v>0.57750000000000001</v>
      </c>
      <c r="F8" s="1">
        <f>results_grouped!Z8</f>
        <v>0.6593</v>
      </c>
      <c r="G8" s="1">
        <f>results_grouped!AF8</f>
        <v>0.61570000000000003</v>
      </c>
    </row>
    <row r="9" spans="2:7" x14ac:dyDescent="0.25">
      <c r="B9" t="str">
        <f>results_grouped!B9</f>
        <v>SBERT + HierarchicalClustering + XGBoost</v>
      </c>
      <c r="C9" s="1">
        <f>results_grouped!H9</f>
        <v>6.1400000000000003E-2</v>
      </c>
      <c r="D9" s="1">
        <f>results_grouped!N9</f>
        <v>6.6600000000000006E-2</v>
      </c>
      <c r="E9" s="1">
        <f>results_grouped!T9</f>
        <v>0.59209999999999996</v>
      </c>
      <c r="F9" s="1">
        <f>results_grouped!Z9</f>
        <v>0.65480000000000005</v>
      </c>
      <c r="G9" s="1">
        <f>results_grouped!AF9</f>
        <v>0.62190000000000001</v>
      </c>
    </row>
    <row r="10" spans="2:7" x14ac:dyDescent="0.25">
      <c r="B10" t="str">
        <f>results_grouped!B10</f>
        <v>TFIDF + HDBSCAN + LogisticRegression</v>
      </c>
      <c r="C10" s="1">
        <f>results_grouped!H10</f>
        <v>4.5100000000000001E-2</v>
      </c>
      <c r="D10" s="1">
        <f>results_grouped!N10</f>
        <v>5.8099999999999999E-2</v>
      </c>
      <c r="E10" s="1">
        <f>results_grouped!T10</f>
        <v>0.58650000000000002</v>
      </c>
      <c r="F10" s="1">
        <f>results_grouped!Z10</f>
        <v>0.67720000000000002</v>
      </c>
      <c r="G10" s="1">
        <f>results_grouped!AF10</f>
        <v>0.62860000000000005</v>
      </c>
    </row>
    <row r="11" spans="2:7" x14ac:dyDescent="0.25">
      <c r="B11" t="str">
        <f>results_grouped!B11</f>
        <v>TFIDF + HDBSCAN + SVM</v>
      </c>
      <c r="C11" s="1">
        <f>results_grouped!H11</f>
        <v>4.3999999999999997E-2</v>
      </c>
      <c r="D11" s="1">
        <f>results_grouped!N11</f>
        <v>6.6000000000000003E-2</v>
      </c>
      <c r="E11" s="1">
        <f>results_grouped!T11</f>
        <v>0.59970000000000001</v>
      </c>
      <c r="F11" s="1">
        <f>results_grouped!Z11</f>
        <v>0.66110000000000002</v>
      </c>
      <c r="G11" s="1">
        <f>results_grouped!AF11</f>
        <v>0.62890000000000001</v>
      </c>
    </row>
    <row r="12" spans="2:7" x14ac:dyDescent="0.25">
      <c r="B12" t="str">
        <f>results_grouped!B12</f>
        <v>TFIDF + HDBSCAN + XGBoost</v>
      </c>
      <c r="C12" s="1">
        <f>results_grouped!H12</f>
        <v>6.3E-2</v>
      </c>
      <c r="D12" s="1">
        <f>results_grouped!N12</f>
        <v>1.14E-2</v>
      </c>
      <c r="E12" s="1">
        <f>results_grouped!T12</f>
        <v>0.45950000000000002</v>
      </c>
      <c r="F12" s="1">
        <f>results_grouped!Z12</f>
        <v>0.66279999999999994</v>
      </c>
      <c r="G12" s="1">
        <f>results_grouped!AF12</f>
        <v>0.54279999999999995</v>
      </c>
    </row>
    <row r="13" spans="2:7" x14ac:dyDescent="0.25">
      <c r="B13" t="str">
        <f>results_grouped!B13</f>
        <v>TFIDF + HierarchicalClustering + LogisticRegression</v>
      </c>
      <c r="C13" s="1">
        <f>results_grouped!H13</f>
        <v>5.9200000000000003E-2</v>
      </c>
      <c r="D13" s="1">
        <f>results_grouped!N13</f>
        <v>6.4399999999999999E-2</v>
      </c>
      <c r="E13" s="1">
        <f>results_grouped!T13</f>
        <v>0.59960000000000002</v>
      </c>
      <c r="F13" s="1">
        <f>results_grouped!Z13</f>
        <v>0.66579999999999995</v>
      </c>
      <c r="G13" s="1">
        <f>results_grouped!AF13</f>
        <v>0.63100000000000001</v>
      </c>
    </row>
    <row r="14" spans="2:7" x14ac:dyDescent="0.25">
      <c r="B14" t="str">
        <f>results_grouped!B14</f>
        <v>TFIDF + HierarchicalClustering + SVM</v>
      </c>
      <c r="C14" s="1">
        <f>results_grouped!H14</f>
        <v>5.8400000000000001E-2</v>
      </c>
      <c r="D14" s="1">
        <f>results_grouped!N14</f>
        <v>7.2099999999999997E-2</v>
      </c>
      <c r="E14" s="1">
        <f>results_grouped!T14</f>
        <v>0.60829999999999995</v>
      </c>
      <c r="F14" s="1">
        <f>results_grouped!Z14</f>
        <v>0.65090000000000003</v>
      </c>
      <c r="G14" s="1">
        <f>results_grouped!AF14</f>
        <v>0.62880000000000003</v>
      </c>
    </row>
    <row r="15" spans="2:7" x14ac:dyDescent="0.25">
      <c r="B15" t="str">
        <f>results_grouped!B15</f>
        <v>TFIDF + HierarchicalClustering + XGBoost</v>
      </c>
      <c r="C15" s="1">
        <f>results_grouped!H15</f>
        <v>5.7700000000000001E-2</v>
      </c>
      <c r="D15" s="1">
        <f>results_grouped!N15</f>
        <v>7.0199999999999999E-2</v>
      </c>
      <c r="E15" s="1">
        <f>results_grouped!T15</f>
        <v>0.61409999999999998</v>
      </c>
      <c r="F15" s="1">
        <f>results_grouped!Z15</f>
        <v>0.64980000000000004</v>
      </c>
      <c r="G15" s="1">
        <f>results_grouped!AF15</f>
        <v>0.63139999999999996</v>
      </c>
    </row>
  </sheetData>
  <mergeCells count="7">
    <mergeCell ref="G2:G3"/>
    <mergeCell ref="B1:G1"/>
    <mergeCell ref="B2:B3"/>
    <mergeCell ref="C2:C3"/>
    <mergeCell ref="D2:D3"/>
    <mergeCell ref="E2:E3"/>
    <mergeCell ref="F2:F3"/>
  </mergeCells>
  <conditionalFormatting sqref="C4:C15">
    <cfRule type="colorScale" priority="1">
      <colorScale>
        <cfvo type="min"/>
        <cfvo type="percentile" val="50"/>
        <cfvo type="max"/>
        <color rgb="FFF8696B"/>
        <color rgb="FFFFEB84"/>
        <color rgb="FF63BE7B"/>
      </colorScale>
    </cfRule>
  </conditionalFormatting>
  <conditionalFormatting sqref="D4:D15">
    <cfRule type="colorScale" priority="2">
      <colorScale>
        <cfvo type="min"/>
        <cfvo type="percentile" val="50"/>
        <cfvo type="max"/>
        <color rgb="FFF8696B"/>
        <color rgb="FFFFEB84"/>
        <color rgb="FF63BE7B"/>
      </colorScale>
    </cfRule>
  </conditionalFormatting>
  <conditionalFormatting sqref="E4:E15">
    <cfRule type="colorScale" priority="3">
      <colorScale>
        <cfvo type="min"/>
        <cfvo type="percentile" val="50"/>
        <cfvo type="max"/>
        <color rgb="FFF8696B"/>
        <color rgb="FFFFEB84"/>
        <color rgb="FF63BE7B"/>
      </colorScale>
    </cfRule>
  </conditionalFormatting>
  <conditionalFormatting sqref="F4:F15">
    <cfRule type="colorScale" priority="4">
      <colorScale>
        <cfvo type="min"/>
        <cfvo type="percentile" val="50"/>
        <cfvo type="max"/>
        <color rgb="FFF8696B"/>
        <color rgb="FFFFEB84"/>
        <color rgb="FF63BE7B"/>
      </colorScale>
    </cfRule>
  </conditionalFormatting>
  <conditionalFormatting sqref="G4:G15">
    <cfRule type="colorScale" priority="5">
      <colorScale>
        <cfvo type="min"/>
        <cfvo type="percentile" val="50"/>
        <cfvo type="max"/>
        <color rgb="FFF8696B"/>
        <color rgb="FFFFEB84"/>
        <color rgb="FF63BE7B"/>
      </colorScale>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4638F-30A1-4505-B2BF-142220D0CAF8}">
  <dimension ref="A1:G31"/>
  <sheetViews>
    <sheetView topLeftCell="A4" workbookViewId="0">
      <selection activeCell="A20" sqref="A20:G31"/>
    </sheetView>
  </sheetViews>
  <sheetFormatPr defaultRowHeight="15" x14ac:dyDescent="0.25"/>
  <cols>
    <col min="1" max="1" width="47.42578125" bestFit="1" customWidth="1"/>
    <col min="2" max="2" width="24.85546875" customWidth="1"/>
    <col min="3" max="3" width="21.85546875" bestFit="1" customWidth="1"/>
    <col min="4" max="4" width="20.7109375" customWidth="1"/>
    <col min="5" max="5" width="21.7109375" customWidth="1"/>
    <col min="6" max="6" width="20.5703125" customWidth="1"/>
    <col min="7" max="7" width="20.140625" customWidth="1"/>
  </cols>
  <sheetData>
    <row r="1" spans="1:7" x14ac:dyDescent="0.25">
      <c r="A1" s="9" t="str">
        <f>results_grouped!B2</f>
        <v>Algorithms</v>
      </c>
      <c r="B1" s="9" t="s">
        <v>362</v>
      </c>
      <c r="C1" s="9" t="s">
        <v>364</v>
      </c>
      <c r="D1" s="9" t="s">
        <v>365</v>
      </c>
      <c r="E1" s="9" t="s">
        <v>366</v>
      </c>
      <c r="F1" s="9" t="s">
        <v>367</v>
      </c>
      <c r="G1" s="9" t="s">
        <v>368</v>
      </c>
    </row>
    <row r="2" spans="1:7" x14ac:dyDescent="0.25">
      <c r="A2" s="9"/>
      <c r="B2" s="9"/>
      <c r="C2" s="9"/>
      <c r="D2" s="9"/>
      <c r="E2" s="9"/>
      <c r="F2" s="9"/>
      <c r="G2" s="9"/>
    </row>
    <row r="3" spans="1:7" ht="136.5" customHeight="1" x14ac:dyDescent="0.25">
      <c r="A3" s="11" t="str">
        <f>results_grouped!B4</f>
        <v>SBERT + HDBSCAN + LogisticRegression</v>
      </c>
      <c r="B3" s="12" t="s">
        <v>406</v>
      </c>
      <c r="C3" s="12" t="s">
        <v>405</v>
      </c>
      <c r="D3" s="12" t="s">
        <v>407</v>
      </c>
      <c r="E3" s="12" t="s">
        <v>408</v>
      </c>
      <c r="F3" s="12" t="s">
        <v>409</v>
      </c>
      <c r="G3" s="12" t="s">
        <v>410</v>
      </c>
    </row>
    <row r="4" spans="1:7" ht="108" customHeight="1" x14ac:dyDescent="0.25">
      <c r="A4" s="10" t="str">
        <f>results_grouped!B5</f>
        <v>SBERT + HDBSCAN + SVM</v>
      </c>
      <c r="B4" s="13" t="s">
        <v>411</v>
      </c>
      <c r="C4" s="13" t="s">
        <v>412</v>
      </c>
      <c r="D4" s="13" t="s">
        <v>413</v>
      </c>
      <c r="E4" s="13" t="s">
        <v>414</v>
      </c>
      <c r="F4" s="13" t="s">
        <v>415</v>
      </c>
      <c r="G4" s="13" t="s">
        <v>416</v>
      </c>
    </row>
    <row r="5" spans="1:7" ht="105" x14ac:dyDescent="0.25">
      <c r="A5" s="11" t="str">
        <f>results_grouped!B6</f>
        <v>SBERT + HDBSCAN + XGBoost</v>
      </c>
      <c r="B5" s="12" t="s">
        <v>417</v>
      </c>
      <c r="C5" s="12" t="s">
        <v>418</v>
      </c>
      <c r="D5" s="12" t="s">
        <v>419</v>
      </c>
      <c r="E5" s="12" t="s">
        <v>420</v>
      </c>
      <c r="F5" s="12" t="s">
        <v>421</v>
      </c>
      <c r="G5" s="12" t="s">
        <v>422</v>
      </c>
    </row>
    <row r="6" spans="1:7" ht="165" x14ac:dyDescent="0.25">
      <c r="A6" s="10" t="str">
        <f>results_grouped!B7</f>
        <v>SBERT + HierarchicalClustering + LogisticRegression</v>
      </c>
      <c r="B6" s="13" t="s">
        <v>423</v>
      </c>
      <c r="C6" s="13" t="s">
        <v>424</v>
      </c>
      <c r="D6" s="13" t="s">
        <v>425</v>
      </c>
      <c r="E6" s="13" t="s">
        <v>426</v>
      </c>
      <c r="F6" s="13" t="s">
        <v>427</v>
      </c>
      <c r="G6" s="13" t="s">
        <v>428</v>
      </c>
    </row>
    <row r="7" spans="1:7" ht="120" x14ac:dyDescent="0.25">
      <c r="A7" s="11" t="str">
        <f>results_grouped!B8</f>
        <v>SBERT + HierarchicalClustering + SVM</v>
      </c>
      <c r="B7" s="12" t="s">
        <v>429</v>
      </c>
      <c r="C7" s="12" t="s">
        <v>430</v>
      </c>
      <c r="D7" s="12" t="s">
        <v>431</v>
      </c>
      <c r="E7" s="12" t="s">
        <v>432</v>
      </c>
      <c r="F7" s="12" t="s">
        <v>433</v>
      </c>
      <c r="G7" s="12" t="s">
        <v>434</v>
      </c>
    </row>
    <row r="8" spans="1:7" ht="105" x14ac:dyDescent="0.25">
      <c r="A8" s="10" t="str">
        <f>results_grouped!B9</f>
        <v>SBERT + HierarchicalClustering + XGBoost</v>
      </c>
      <c r="B8" s="13" t="s">
        <v>435</v>
      </c>
      <c r="C8" s="13" t="s">
        <v>436</v>
      </c>
      <c r="D8" s="13" t="s">
        <v>437</v>
      </c>
      <c r="E8" s="13" t="s">
        <v>438</v>
      </c>
      <c r="F8" s="13" t="s">
        <v>439</v>
      </c>
      <c r="G8" s="13" t="s">
        <v>440</v>
      </c>
    </row>
    <row r="9" spans="1:7" ht="165" x14ac:dyDescent="0.25">
      <c r="A9" s="11" t="str">
        <f>results_grouped!B10</f>
        <v>TFIDF + HDBSCAN + LogisticRegression</v>
      </c>
      <c r="B9" s="12" t="s">
        <v>387</v>
      </c>
      <c r="C9" s="12" t="s">
        <v>388</v>
      </c>
      <c r="D9" s="12" t="s">
        <v>389</v>
      </c>
      <c r="E9" s="12" t="s">
        <v>390</v>
      </c>
      <c r="F9" s="12" t="s">
        <v>391</v>
      </c>
      <c r="G9" s="12" t="s">
        <v>392</v>
      </c>
    </row>
    <row r="10" spans="1:7" ht="105" x14ac:dyDescent="0.25">
      <c r="A10" s="10" t="str">
        <f>results_grouped!B11</f>
        <v>TFIDF + HDBSCAN + SVM</v>
      </c>
      <c r="B10" s="13" t="s">
        <v>393</v>
      </c>
      <c r="C10" s="13" t="s">
        <v>394</v>
      </c>
      <c r="D10" s="13" t="s">
        <v>395</v>
      </c>
      <c r="E10" s="13" t="s">
        <v>396</v>
      </c>
      <c r="F10" s="13" t="s">
        <v>397</v>
      </c>
      <c r="G10" s="13" t="s">
        <v>398</v>
      </c>
    </row>
    <row r="11" spans="1:7" ht="150" x14ac:dyDescent="0.25">
      <c r="A11" s="11" t="str">
        <f>results_grouped!B12</f>
        <v>TFIDF + HDBSCAN + XGBoost</v>
      </c>
      <c r="B11" s="12" t="s">
        <v>399</v>
      </c>
      <c r="C11" s="12" t="s">
        <v>400</v>
      </c>
      <c r="D11" s="12" t="s">
        <v>401</v>
      </c>
      <c r="E11" s="12" t="s">
        <v>402</v>
      </c>
      <c r="F11" s="12" t="s">
        <v>403</v>
      </c>
      <c r="G11" s="12" t="s">
        <v>404</v>
      </c>
    </row>
    <row r="12" spans="1:7" ht="120" x14ac:dyDescent="0.25">
      <c r="A12" s="10" t="str">
        <f>results_grouped!B13</f>
        <v>TFIDF + HierarchicalClustering + LogisticRegression</v>
      </c>
      <c r="B12" s="13" t="s">
        <v>381</v>
      </c>
      <c r="C12" s="13" t="s">
        <v>382</v>
      </c>
      <c r="D12" s="13" t="s">
        <v>383</v>
      </c>
      <c r="E12" s="13" t="s">
        <v>384</v>
      </c>
      <c r="F12" s="13" t="s">
        <v>385</v>
      </c>
      <c r="G12" s="13" t="s">
        <v>386</v>
      </c>
    </row>
    <row r="13" spans="1:7" ht="90" x14ac:dyDescent="0.25">
      <c r="A13" s="11" t="str">
        <f>results_grouped!B14</f>
        <v>TFIDF + HierarchicalClustering + SVM</v>
      </c>
      <c r="B13" s="12" t="s">
        <v>375</v>
      </c>
      <c r="C13" s="12" t="s">
        <v>376</v>
      </c>
      <c r="D13" s="12" t="s">
        <v>377</v>
      </c>
      <c r="E13" s="12" t="s">
        <v>378</v>
      </c>
      <c r="F13" s="12" t="s">
        <v>379</v>
      </c>
      <c r="G13" s="12" t="s">
        <v>380</v>
      </c>
    </row>
    <row r="14" spans="1:7" ht="105" customHeight="1" x14ac:dyDescent="0.25">
      <c r="A14" s="10" t="str">
        <f>results_grouped!B15</f>
        <v>TFIDF + HierarchicalClustering + XGBoost</v>
      </c>
      <c r="B14" s="13" t="s">
        <v>369</v>
      </c>
      <c r="C14" s="13" t="s">
        <v>370</v>
      </c>
      <c r="D14" s="13" t="s">
        <v>371</v>
      </c>
      <c r="E14" s="13" t="s">
        <v>372</v>
      </c>
      <c r="F14" s="13" t="s">
        <v>373</v>
      </c>
      <c r="G14" s="13" t="s">
        <v>374</v>
      </c>
    </row>
    <row r="20" spans="1:7" ht="29.25" customHeight="1" x14ac:dyDescent="0.25">
      <c r="A20" s="44" t="s">
        <v>362</v>
      </c>
      <c r="B20" s="43" t="s">
        <v>457</v>
      </c>
      <c r="C20" s="14"/>
      <c r="D20" s="14"/>
      <c r="E20" s="14"/>
      <c r="F20" s="14"/>
      <c r="G20" s="15"/>
    </row>
    <row r="21" spans="1:7" ht="29.25" customHeight="1" x14ac:dyDescent="0.25">
      <c r="A21" s="21" t="s">
        <v>441</v>
      </c>
      <c r="B21" s="22"/>
      <c r="C21" s="22"/>
      <c r="D21" s="22"/>
      <c r="E21" s="22"/>
      <c r="F21" s="22"/>
      <c r="G21" s="23"/>
    </row>
    <row r="22" spans="1:7" ht="29.25" customHeight="1" x14ac:dyDescent="0.25">
      <c r="A22" s="27" t="s">
        <v>364</v>
      </c>
      <c r="B22" s="19" t="s">
        <v>458</v>
      </c>
      <c r="C22" s="19"/>
      <c r="D22" s="19"/>
      <c r="E22" s="19"/>
      <c r="F22" s="19"/>
      <c r="G22" s="20"/>
    </row>
    <row r="23" spans="1:7" ht="30" customHeight="1" x14ac:dyDescent="0.25">
      <c r="A23" s="16" t="s">
        <v>442</v>
      </c>
      <c r="B23" s="17"/>
      <c r="C23" s="17"/>
      <c r="D23" s="17"/>
      <c r="E23" s="17"/>
      <c r="F23" s="17"/>
      <c r="G23" s="18"/>
    </row>
    <row r="24" spans="1:7" ht="30" customHeight="1" x14ac:dyDescent="0.25">
      <c r="A24" s="26" t="s">
        <v>365</v>
      </c>
      <c r="B24" s="24" t="s">
        <v>459</v>
      </c>
      <c r="C24" s="24"/>
      <c r="D24" s="24"/>
      <c r="E24" s="24"/>
      <c r="F24" s="24"/>
      <c r="G24" s="25"/>
    </row>
    <row r="25" spans="1:7" ht="29.25" customHeight="1" x14ac:dyDescent="0.25">
      <c r="A25" s="21" t="s">
        <v>443</v>
      </c>
      <c r="B25" s="22"/>
      <c r="C25" s="22"/>
      <c r="D25" s="22"/>
      <c r="E25" s="22"/>
      <c r="F25" s="22"/>
      <c r="G25" s="23"/>
    </row>
    <row r="26" spans="1:7" ht="29.25" customHeight="1" x14ac:dyDescent="0.25">
      <c r="A26" s="27" t="s">
        <v>366</v>
      </c>
      <c r="B26" s="19" t="s">
        <v>460</v>
      </c>
      <c r="C26" s="19"/>
      <c r="D26" s="19"/>
      <c r="E26" s="19"/>
      <c r="F26" s="19"/>
      <c r="G26" s="20"/>
    </row>
    <row r="27" spans="1:7" ht="44.25" customHeight="1" x14ac:dyDescent="0.25">
      <c r="A27" s="16" t="s">
        <v>444</v>
      </c>
      <c r="B27" s="17"/>
      <c r="C27" s="17"/>
      <c r="D27" s="17"/>
      <c r="E27" s="17"/>
      <c r="F27" s="17"/>
      <c r="G27" s="18"/>
    </row>
    <row r="28" spans="1:7" ht="28.5" customHeight="1" x14ac:dyDescent="0.25">
      <c r="A28" s="26" t="s">
        <v>367</v>
      </c>
      <c r="B28" s="24" t="s">
        <v>363</v>
      </c>
      <c r="C28" s="24"/>
      <c r="D28" s="24"/>
      <c r="E28" s="24"/>
      <c r="F28" s="24"/>
      <c r="G28" s="25"/>
    </row>
    <row r="29" spans="1:7" ht="58.5" customHeight="1" x14ac:dyDescent="0.25">
      <c r="A29" s="21" t="s">
        <v>445</v>
      </c>
      <c r="B29" s="22"/>
      <c r="C29" s="22"/>
      <c r="D29" s="22"/>
      <c r="E29" s="22"/>
      <c r="F29" s="22"/>
      <c r="G29" s="23"/>
    </row>
    <row r="30" spans="1:7" ht="25.5" customHeight="1" x14ac:dyDescent="0.25">
      <c r="A30" s="27" t="s">
        <v>368</v>
      </c>
      <c r="B30" s="19" t="s">
        <v>461</v>
      </c>
      <c r="C30" s="19"/>
      <c r="D30" s="19"/>
      <c r="E30" s="19"/>
      <c r="F30" s="19"/>
      <c r="G30" s="20"/>
    </row>
    <row r="31" spans="1:7" ht="44.25" customHeight="1" x14ac:dyDescent="0.25">
      <c r="A31" s="21" t="s">
        <v>446</v>
      </c>
      <c r="B31" s="22"/>
      <c r="C31" s="22"/>
      <c r="D31" s="22"/>
      <c r="E31" s="22"/>
      <c r="F31" s="22"/>
      <c r="G31" s="23"/>
    </row>
  </sheetData>
  <mergeCells count="13">
    <mergeCell ref="A31:G31"/>
    <mergeCell ref="G1:G2"/>
    <mergeCell ref="A21:G21"/>
    <mergeCell ref="A23:G23"/>
    <mergeCell ref="A25:G25"/>
    <mergeCell ref="A27:G27"/>
    <mergeCell ref="A29:G29"/>
    <mergeCell ref="A1:A2"/>
    <mergeCell ref="B1:B2"/>
    <mergeCell ref="C1:C2"/>
    <mergeCell ref="D1:D2"/>
    <mergeCell ref="E1:E2"/>
    <mergeCell ref="F1:F2"/>
  </mergeCells>
  <phoneticPr fontId="4"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A269723-2085-46DA-AAC2-338641CF1B2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results</vt:lpstr>
      <vt:lpstr>results_grouped</vt:lpstr>
      <vt:lpstr>results_threshold_per_label</vt:lpstr>
      <vt:lpstr>results_threshold_per_label_gro</vt:lpstr>
      <vt:lpstr>manual tests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Diogo dos Santos Silva Mendes</dc:creator>
  <cp:lastModifiedBy>Diogo dos Santos Silva Mendes</cp:lastModifiedBy>
  <dcterms:created xsi:type="dcterms:W3CDTF">2026-03-30T18:40:21Z</dcterms:created>
  <dcterms:modified xsi:type="dcterms:W3CDTF">2026-03-31T21:31:46Z</dcterms:modified>
</cp:coreProperties>
</file>